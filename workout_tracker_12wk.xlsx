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Wk01" sheetId="2" r:id="rId6"/>
    <sheet state="visible" name="Wk02" sheetId="3" r:id="rId7"/>
    <sheet state="visible" name="Wk03" sheetId="4" r:id="rId8"/>
    <sheet state="visible" name="Wk04" sheetId="5" r:id="rId9"/>
    <sheet state="visible" name="Wk05" sheetId="6" r:id="rId10"/>
    <sheet state="visible" name="Wk06" sheetId="7" r:id="rId11"/>
    <sheet state="visible" name="Wk07" sheetId="8" r:id="rId12"/>
    <sheet state="visible" name="Wk08" sheetId="9" r:id="rId13"/>
    <sheet state="visible" name="Wk09" sheetId="10" r:id="rId14"/>
    <sheet state="visible" name="Wk10" sheetId="11" r:id="rId15"/>
    <sheet state="visible" name="Wk11" sheetId="12" r:id="rId16"/>
    <sheet state="visible" name="Wk12" sheetId="13" r:id="rId17"/>
    <sheet state="visible" name="Progress" sheetId="14" r:id="rId18"/>
    <sheet state="visible" name="Bodyweight" sheetId="15" r:id="rId19"/>
  </sheets>
  <definedNames/>
  <calcPr/>
</workbook>
</file>

<file path=xl/sharedStrings.xml><?xml version="1.0" encoding="utf-8"?>
<sst xmlns="http://schemas.openxmlformats.org/spreadsheetml/2006/main" count="947" uniqueCount="114">
  <si>
    <t>12-Week Upper / Lower / Full Body Tracker</t>
  </si>
  <si>
    <t>Week 1 — Accumulation (RIR 2-3)</t>
  </si>
  <si>
    <t>Week 2 — Accumulation (RIR 2-3)</t>
  </si>
  <si>
    <t>Schedule</t>
  </si>
  <si>
    <t>Week 3 — Accumulation (RIR 2-3)</t>
  </si>
  <si>
    <t>Phase Map</t>
  </si>
  <si>
    <t>Mon</t>
  </si>
  <si>
    <t>Upper</t>
  </si>
  <si>
    <t>Weeks 1-4</t>
  </si>
  <si>
    <t>Accumulation</t>
  </si>
  <si>
    <t>RIR 2-3 — build base, dial form</t>
  </si>
  <si>
    <t>Tue</t>
  </si>
  <si>
    <t>Rest</t>
  </si>
  <si>
    <t>Weeks 5-8</t>
  </si>
  <si>
    <t>Intensification</t>
  </si>
  <si>
    <t>RIR 1-2 — push working weight</t>
  </si>
  <si>
    <t>Wed</t>
  </si>
  <si>
    <t>Lower</t>
  </si>
  <si>
    <t>Weeks 9-11</t>
  </si>
  <si>
    <t>Peak</t>
  </si>
  <si>
    <t>RIR 0-1 — max stimulus</t>
  </si>
  <si>
    <t>Thu</t>
  </si>
  <si>
    <t>Week 12</t>
  </si>
  <si>
    <t>Deload</t>
  </si>
  <si>
    <t>50% weight, 2 sets x 8</t>
  </si>
  <si>
    <t>Fri</t>
  </si>
  <si>
    <t>Full Body</t>
  </si>
  <si>
    <t>Exercise</t>
  </si>
  <si>
    <t>Sat</t>
  </si>
  <si>
    <t>Rest / Walk</t>
  </si>
  <si>
    <t>Sun</t>
  </si>
  <si>
    <t>Target Reps</t>
  </si>
  <si>
    <t>Progression Rules</t>
  </si>
  <si>
    <t>S1 Wt</t>
  </si>
  <si>
    <t>S1 Reps</t>
  </si>
  <si>
    <t>• Double progression: hit top of rep range on ALL 3 sets → next session, +2.5-5kg compounds, +1-2kg isolations, drop reps to bottom of range</t>
  </si>
  <si>
    <t>S2 Wt</t>
  </si>
  <si>
    <t>• Warm-up: 5 min cardio + dynamic mobility, then 2 ramp sets (50%, 75%) on first compound only</t>
  </si>
  <si>
    <t>S2 Reps</t>
  </si>
  <si>
    <t>S3 Wt</t>
  </si>
  <si>
    <t>• Rest: 2-3 min compounds, 60-90s isolations</t>
  </si>
  <si>
    <t>S3 Reps</t>
  </si>
  <si>
    <t>• Stop a set if form breaks — not when you hit the rep target</t>
  </si>
  <si>
    <t>Top Set Vol</t>
  </si>
  <si>
    <t>• If joint pain (not muscle soreness) &gt; 3 days, swap the exercise</t>
  </si>
  <si>
    <t>Hit Top?</t>
  </si>
  <si>
    <t>• Sleep 7+ hrs, protein 1.6-2 g/kg bodyweight</t>
  </si>
  <si>
    <t>Notes</t>
  </si>
  <si>
    <t>• Stalled 2 weeks on same exercise? Swap variation (e.g., flat → incline).</t>
  </si>
  <si>
    <t>DB Bench Press (neutral/30° incline)</t>
  </si>
  <si>
    <t>How to Use</t>
  </si>
  <si>
    <t>8-12</t>
  </si>
  <si>
    <t>1. Each week tab = one training week with 3 workouts (Upper, Lower, Full).</t>
  </si>
  <si>
    <t>2. Log Weight × Reps for each set. Notes column for form cues, RPE, soreness.</t>
  </si>
  <si>
    <t>3. "Top Set Volume" auto-calculates (weight × reps of set 3).</t>
  </si>
  <si>
    <t>4. "Progress" sheet auto-tracks top set across all 12 weeks per exercise.</t>
  </si>
  <si>
    <t>5. Color guide: Green = Accumulation · Yellow = Intensification · Orange = Peak · Grey = Deload.</t>
  </si>
  <si>
    <t>Chest-Supported DB Row</t>
  </si>
  <si>
    <t>Seated DB Shoulder Press</t>
  </si>
  <si>
    <t>DB Lateral Raise</t>
  </si>
  <si>
    <t>12-15</t>
  </si>
  <si>
    <t>DB Hammer Curl + OH Triceps Ext (SS)</t>
  </si>
  <si>
    <t>Box squat</t>
  </si>
  <si>
    <t>Week 4 — Accumulation (RIR 2-3)</t>
  </si>
  <si>
    <t>Lying / Seated Leg Curl</t>
  </si>
  <si>
    <t>Smith Bulgarian Split Squat</t>
  </si>
  <si>
    <t>8-12 / leg</t>
  </si>
  <si>
    <t>DB Hip Thrust</t>
  </si>
  <si>
    <t>Leg Extension + Standing Calf Raise (SS)</t>
  </si>
  <si>
    <t>12-15 / 12-15</t>
  </si>
  <si>
    <t xml:space="preserve">Barbell deadlift </t>
  </si>
  <si>
    <t>DB Floor Press / Push-Up</t>
  </si>
  <si>
    <t>One-Arm DB Row</t>
  </si>
  <si>
    <t>8-12 / side</t>
  </si>
  <si>
    <t>DB Reverse Lunge</t>
  </si>
  <si>
    <t>12-15 / leg</t>
  </si>
  <si>
    <t>Pull-Up / Lat Pulldown</t>
  </si>
  <si>
    <t>Blue cells = your inputs. Top Set Vol &amp; Hit Top? auto-calculate.</t>
  </si>
  <si>
    <t>Push-Up</t>
  </si>
  <si>
    <t>Week 5 — Intensification (RIR 1-2)</t>
  </si>
  <si>
    <t>Week 6 — Intensification (RIR 1-2)</t>
  </si>
  <si>
    <t>Week 7 — Intensification (RIR 1-2)</t>
  </si>
  <si>
    <t xml:space="preserve">Leg press </t>
  </si>
  <si>
    <t>Week 8 — Intensification (RIR 1-2)</t>
  </si>
  <si>
    <t>45° Back Extension</t>
  </si>
  <si>
    <t>Hip Thrust</t>
  </si>
  <si>
    <t>Week 9 — Peak (RIR 0-1)</t>
  </si>
  <si>
    <t>Week 10 — Peak (RIR 0-1)</t>
  </si>
  <si>
    <t>Week 11 — Peak (RIR 0-1)</t>
  </si>
  <si>
    <t>Week 12 — Deload (50% wt, 2x8)</t>
  </si>
  <si>
    <t>Top Set Progression — Weight × Reps (Set 3) per Week</t>
  </si>
  <si>
    <t>Workout</t>
  </si>
  <si>
    <t>Wk01</t>
  </si>
  <si>
    <t>Wk02</t>
  </si>
  <si>
    <t>Wk03</t>
  </si>
  <si>
    <t>Wk04</t>
  </si>
  <si>
    <t>Wk05</t>
  </si>
  <si>
    <t>Wk06</t>
  </si>
  <si>
    <t>Wk07</t>
  </si>
  <si>
    <t>Wk08</t>
  </si>
  <si>
    <t>Wk09</t>
  </si>
  <si>
    <t>Wk10</t>
  </si>
  <si>
    <t>Wk11</t>
  </si>
  <si>
    <t>Wk12</t>
  </si>
  <si>
    <t>Best Vol</t>
  </si>
  <si>
    <t>Bodyweight &amp; Recovery Log</t>
  </si>
  <si>
    <t>Week</t>
  </si>
  <si>
    <t>Date</t>
  </si>
  <si>
    <t>Bodyweight (kg)</t>
  </si>
  <si>
    <t>Sleep avg (hrs)</t>
  </si>
  <si>
    <t>Energy 1-10</t>
  </si>
  <si>
    <t>Goblet / Front-Rack DB Squat</t>
  </si>
  <si>
    <t>DB Bulgarian Split Squat</t>
  </si>
  <si>
    <t>Barbell Hip Thrust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</si>
</sst>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6.0"/>
      <color rgb="FF1F4E78"/>
      <name val="Arial"/>
    </font>
    <font>
      <b/>
      <sz val="11.0"/>
      <color theme="1"/>
      <name val="Arial"/>
    </font>
    <font>
      <b/>
      <sz val="14.0"/>
      <color rgb="FFFFFFFF"/>
      <name val="Arial"/>
    </font>
    <font>
      <sz val="10.0"/>
      <color theme="1"/>
      <name val="Arial"/>
    </font>
    <font/>
    <font>
      <b/>
      <sz val="11.0"/>
      <color rgb="FFFFFFFF"/>
      <name val="Arial"/>
    </font>
    <font>
      <sz val="10.0"/>
      <color rgb="FF0000FF"/>
      <name val="Arial"/>
    </font>
    <font>
      <b/>
      <sz val="10.0"/>
      <color rgb="FF008000"/>
      <name val="Arial"/>
    </font>
    <font>
      <i/>
      <sz val="9.0"/>
      <color rgb="FF595959"/>
      <name val="Arial"/>
    </font>
    <font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D9D9D9"/>
        <bgColor rgb="FFD9D9D9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shrinkToFit="0" vertical="bottom" wrapText="0"/>
    </xf>
    <xf borderId="2" fillId="0" fontId="5" numFmtId="0" xfId="0" applyBorder="1" applyFont="1"/>
    <xf borderId="0" fillId="0" fontId="4" numFmtId="0" xfId="0" applyAlignment="1" applyFont="1">
      <alignment horizontal="left" shrinkToFit="0" vertical="center" wrapText="1"/>
    </xf>
    <xf borderId="3" fillId="0" fontId="5" numFmtId="0" xfId="0" applyBorder="1" applyFont="1"/>
    <xf borderId="1" fillId="3" fontId="6" numFmtId="0" xfId="0" applyAlignment="1" applyBorder="1" applyFill="1" applyFont="1">
      <alignment horizontal="center" shrinkToFit="0" vertical="center" wrapText="1"/>
    </xf>
    <xf borderId="4" fillId="4" fontId="6" numFmtId="0" xfId="0" applyAlignment="1" applyBorder="1" applyFill="1" applyFont="1">
      <alignment horizontal="center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4" fillId="5" fontId="7" numFmtId="0" xfId="0" applyAlignment="1" applyBorder="1" applyFill="1" applyFont="1">
      <alignment horizontal="center" readingOrder="0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left" readingOrder="0" shrinkToFit="0" vertical="center" wrapText="1"/>
    </xf>
    <xf borderId="0" fillId="0" fontId="9" numFmtId="0" xfId="0" applyAlignment="1" applyFont="1">
      <alignment shrinkToFit="0" vertical="bottom" wrapText="0"/>
    </xf>
    <xf borderId="4" fillId="6" fontId="6" numFmtId="0" xfId="0" applyAlignment="1" applyBorder="1" applyFill="1" applyFont="1">
      <alignment horizontal="center" shrinkToFit="0" vertical="center" wrapText="1"/>
    </xf>
    <xf borderId="4" fillId="5" fontId="7" numFmtId="0" xfId="0" applyAlignment="1" applyBorder="1" applyFont="1">
      <alignment horizontal="center" shrinkToFit="0" vertical="center" wrapText="1"/>
    </xf>
    <xf borderId="4" fillId="7" fontId="6" numFmtId="0" xfId="0" applyAlignment="1" applyBorder="1" applyFill="1" applyFont="1">
      <alignment horizontal="center" shrinkToFit="0" vertical="center" wrapText="1"/>
    </xf>
    <xf borderId="4" fillId="8" fontId="6" numFmtId="0" xfId="0" applyAlignment="1" applyBorder="1" applyFill="1" applyFont="1">
      <alignment horizontal="center" shrinkToFit="0" vertical="center" wrapText="1"/>
    </xf>
    <xf borderId="0" fillId="0" fontId="10" numFmtId="0" xfId="0" applyAlignment="1" applyFont="1">
      <alignment readingOrder="0"/>
    </xf>
    <xf borderId="4" fillId="2" fontId="6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shrinkToFit="0" vertical="bottom" wrapText="0"/>
    </xf>
    <xf borderId="4" fillId="4" fontId="4" numFmtId="0" xfId="0" applyAlignment="1" applyBorder="1" applyFont="1">
      <alignment horizontal="center" shrinkToFit="0" vertical="center" wrapText="1"/>
    </xf>
    <xf borderId="4" fillId="4" fontId="2" numFmtId="0" xfId="0" applyAlignment="1" applyBorder="1" applyFont="1">
      <alignment shrinkToFit="0" vertical="bottom" wrapText="0"/>
    </xf>
    <xf borderId="4" fillId="0" fontId="7" numFmtId="0" xfId="0" applyAlignment="1" applyBorder="1" applyFont="1">
      <alignment horizontal="center" shrinkToFit="0" vertical="center" wrapText="1"/>
    </xf>
    <xf borderId="4" fillId="6" fontId="4" numFmtId="0" xfId="0" applyAlignment="1" applyBorder="1" applyFont="1">
      <alignment horizontal="center" shrinkToFit="0" vertical="center" wrapText="1"/>
    </xf>
    <xf borderId="4" fillId="6" fontId="2" numFmtId="0" xfId="0" applyAlignment="1" applyBorder="1" applyFont="1">
      <alignment shrinkToFit="0" vertical="bottom" wrapText="0"/>
    </xf>
    <xf borderId="4" fillId="7" fontId="4" numFmtId="0" xfId="0" applyAlignment="1" applyBorder="1" applyFont="1">
      <alignment horizontal="center" shrinkToFit="0" vertical="center" wrapText="1"/>
    </xf>
    <xf borderId="4" fillId="8" fontId="4" numFmtId="0" xfId="0" applyAlignment="1" applyBorder="1" applyFont="1">
      <alignment horizontal="center" shrinkToFit="0" vertical="center" wrapText="1"/>
    </xf>
    <xf borderId="4" fillId="7" fontId="2" numFmtId="0" xfId="0" applyAlignment="1" applyBorder="1" applyFont="1">
      <alignment shrinkToFit="0" vertical="bottom" wrapText="0"/>
    </xf>
    <xf borderId="4" fillId="0" fontId="2" numFmtId="0" xfId="0" applyAlignment="1" applyBorder="1" applyFont="1">
      <alignment horizontal="center" shrinkToFit="0" vertical="center" wrapText="1"/>
    </xf>
    <xf borderId="4" fillId="8" fontId="2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2.0"/>
    <col customWidth="1" min="3" max="3" width="32.0"/>
    <col customWidth="1" min="4" max="4" width="14.0"/>
    <col customWidth="1" min="5" max="5" width="18.0"/>
    <col customWidth="1" min="6" max="6" width="28.0"/>
    <col customWidth="1" min="7" max="26" width="8.71"/>
  </cols>
  <sheetData>
    <row r="1">
      <c r="A1" s="1" t="s">
        <v>0</v>
      </c>
    </row>
    <row r="3">
      <c r="A3" s="2" t="s">
        <v>3</v>
      </c>
      <c r="D3" s="2" t="s">
        <v>5</v>
      </c>
    </row>
    <row r="4">
      <c r="A4" s="2" t="s">
        <v>6</v>
      </c>
      <c r="B4" s="4" t="s">
        <v>7</v>
      </c>
      <c r="D4" s="6" t="s">
        <v>8</v>
      </c>
      <c r="E4" s="6" t="s">
        <v>9</v>
      </c>
      <c r="F4" s="6" t="s">
        <v>10</v>
      </c>
    </row>
    <row r="5">
      <c r="A5" s="2" t="s">
        <v>11</v>
      </c>
      <c r="B5" s="4" t="s">
        <v>12</v>
      </c>
      <c r="D5" s="6" t="s">
        <v>13</v>
      </c>
      <c r="E5" s="6" t="s">
        <v>14</v>
      </c>
      <c r="F5" s="6" t="s">
        <v>15</v>
      </c>
    </row>
    <row r="6">
      <c r="A6" s="2" t="s">
        <v>16</v>
      </c>
      <c r="B6" s="4" t="s">
        <v>17</v>
      </c>
      <c r="D6" s="6" t="s">
        <v>18</v>
      </c>
      <c r="E6" s="6" t="s">
        <v>19</v>
      </c>
      <c r="F6" s="6" t="s">
        <v>20</v>
      </c>
    </row>
    <row r="7">
      <c r="A7" s="2" t="s">
        <v>21</v>
      </c>
      <c r="B7" s="4" t="s">
        <v>12</v>
      </c>
      <c r="D7" s="6" t="s">
        <v>22</v>
      </c>
      <c r="E7" s="6" t="s">
        <v>23</v>
      </c>
      <c r="F7" s="6" t="s">
        <v>24</v>
      </c>
    </row>
    <row r="8">
      <c r="A8" s="2" t="s">
        <v>25</v>
      </c>
      <c r="B8" s="4" t="s">
        <v>26</v>
      </c>
    </row>
    <row r="9">
      <c r="A9" s="2" t="s">
        <v>28</v>
      </c>
      <c r="B9" s="4" t="s">
        <v>29</v>
      </c>
    </row>
    <row r="10">
      <c r="A10" s="2" t="s">
        <v>30</v>
      </c>
      <c r="B10" s="4" t="s">
        <v>29</v>
      </c>
    </row>
    <row r="12">
      <c r="A12" s="2" t="s">
        <v>32</v>
      </c>
    </row>
    <row r="13" ht="15.0" customHeight="1">
      <c r="A13" s="6" t="s">
        <v>35</v>
      </c>
    </row>
    <row r="14" ht="15.0" customHeight="1">
      <c r="A14" s="6" t="s">
        <v>37</v>
      </c>
    </row>
    <row r="15" ht="15.0" customHeight="1">
      <c r="A15" s="6" t="s">
        <v>40</v>
      </c>
    </row>
    <row r="16" ht="15.0" customHeight="1">
      <c r="A16" s="6" t="s">
        <v>42</v>
      </c>
    </row>
    <row r="17" ht="15.0" customHeight="1">
      <c r="A17" s="6" t="s">
        <v>44</v>
      </c>
    </row>
    <row r="18" ht="15.0" customHeight="1">
      <c r="A18" s="6" t="s">
        <v>46</v>
      </c>
    </row>
    <row r="19" ht="15.0" customHeight="1">
      <c r="A19" s="6" t="s">
        <v>48</v>
      </c>
    </row>
    <row r="21" ht="15.75" customHeight="1"/>
    <row r="22" ht="15.75" customHeight="1">
      <c r="A22" s="2" t="s">
        <v>50</v>
      </c>
    </row>
    <row r="23" ht="15.0" customHeight="1">
      <c r="A23" s="6" t="s">
        <v>52</v>
      </c>
    </row>
    <row r="24" ht="15.0" customHeight="1">
      <c r="A24" s="6" t="s">
        <v>53</v>
      </c>
    </row>
    <row r="25" ht="15.0" customHeight="1">
      <c r="A25" s="6" t="s">
        <v>54</v>
      </c>
    </row>
    <row r="26" ht="15.0" customHeight="1">
      <c r="A26" s="6" t="s">
        <v>55</v>
      </c>
    </row>
    <row r="27" ht="15.0" customHeight="1">
      <c r="A27" s="6" t="s">
        <v>56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19:F19"/>
    <mergeCell ref="A23:F23"/>
    <mergeCell ref="A24:F24"/>
    <mergeCell ref="A25:F25"/>
    <mergeCell ref="A26:F26"/>
    <mergeCell ref="A27:F27"/>
    <mergeCell ref="A1:F1"/>
    <mergeCell ref="A13:F13"/>
    <mergeCell ref="A14:F14"/>
    <mergeCell ref="A15:F15"/>
    <mergeCell ref="A16:F16"/>
    <mergeCell ref="A17:F17"/>
    <mergeCell ref="A18:F18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4.0"/>
    <col customWidth="1" min="3" max="8" width="9.0"/>
    <col customWidth="1" min="9" max="9" width="12.0"/>
    <col customWidth="1" min="10" max="10" width="9.0"/>
    <col customWidth="1" min="11" max="11" width="30.0"/>
    <col customWidth="1" min="12" max="26" width="8.71"/>
  </cols>
  <sheetData>
    <row r="1" ht="24.0" customHeight="1">
      <c r="A1" s="3" t="s">
        <v>1</v>
      </c>
      <c r="B1" s="5"/>
      <c r="C1" s="5"/>
      <c r="D1" s="5"/>
      <c r="E1" s="5"/>
      <c r="F1" s="5"/>
      <c r="G1" s="5"/>
      <c r="H1" s="5"/>
      <c r="I1" s="5"/>
      <c r="J1" s="5"/>
      <c r="K1" s="7"/>
    </row>
    <row r="3" ht="15.0" customHeight="1">
      <c r="A3" s="8" t="s">
        <v>7</v>
      </c>
      <c r="B3" s="5"/>
      <c r="C3" s="5"/>
      <c r="D3" s="5"/>
      <c r="E3" s="5"/>
      <c r="F3" s="5"/>
      <c r="G3" s="5"/>
      <c r="H3" s="5"/>
      <c r="I3" s="5"/>
      <c r="J3" s="5"/>
      <c r="K3" s="7"/>
    </row>
    <row r="4">
      <c r="A4" s="9" t="s">
        <v>27</v>
      </c>
      <c r="B4" s="9" t="s">
        <v>31</v>
      </c>
      <c r="C4" s="9" t="s">
        <v>33</v>
      </c>
      <c r="D4" s="9" t="s">
        <v>34</v>
      </c>
      <c r="E4" s="9" t="s">
        <v>36</v>
      </c>
      <c r="F4" s="9" t="s">
        <v>38</v>
      </c>
      <c r="G4" s="9" t="s">
        <v>39</v>
      </c>
      <c r="H4" s="9" t="s">
        <v>41</v>
      </c>
      <c r="I4" s="9" t="s">
        <v>43</v>
      </c>
      <c r="J4" s="9" t="s">
        <v>45</v>
      </c>
      <c r="K4" s="9" t="s">
        <v>47</v>
      </c>
    </row>
    <row r="5">
      <c r="A5" s="10" t="s">
        <v>49</v>
      </c>
      <c r="B5" s="11" t="s">
        <v>51</v>
      </c>
      <c r="C5" s="12">
        <v>35.0</v>
      </c>
      <c r="D5" s="12">
        <v>10.0</v>
      </c>
      <c r="E5" s="12">
        <v>35.0</v>
      </c>
      <c r="F5" s="12">
        <v>10.0</v>
      </c>
      <c r="G5" s="12">
        <v>35.0</v>
      </c>
      <c r="H5" s="12">
        <v>10.0</v>
      </c>
      <c r="I5" s="11">
        <f t="shared" ref="I5:I10" si="1">IF(AND(G5&lt;&gt;"",H5&lt;&gt;""),G5*H5,"")</f>
        <v>350</v>
      </c>
      <c r="J5" s="13" t="str">
        <f t="shared" ref="J5:J10" si="2">IF(H5="","",IF(H5&gt;=VALUE(LEFT(MID(B5,FIND("-",B5)+1,2),2)),"✓",""))</f>
        <v/>
      </c>
      <c r="K5" s="10"/>
    </row>
    <row r="6">
      <c r="A6" s="10" t="s">
        <v>57</v>
      </c>
      <c r="B6" s="11" t="s">
        <v>51</v>
      </c>
      <c r="C6" s="12">
        <v>25.0</v>
      </c>
      <c r="D6" s="12">
        <v>12.0</v>
      </c>
      <c r="E6" s="12">
        <v>30.0</v>
      </c>
      <c r="F6" s="12">
        <v>12.0</v>
      </c>
      <c r="G6" s="12">
        <v>35.0</v>
      </c>
      <c r="H6" s="12">
        <v>12.0</v>
      </c>
      <c r="I6" s="11">
        <f t="shared" si="1"/>
        <v>420</v>
      </c>
      <c r="J6" s="13" t="str">
        <f t="shared" si="2"/>
        <v>✓</v>
      </c>
      <c r="K6" s="10"/>
    </row>
    <row r="7">
      <c r="A7" s="10" t="s">
        <v>58</v>
      </c>
      <c r="B7" s="11" t="s">
        <v>51</v>
      </c>
      <c r="C7" s="12">
        <v>20.0</v>
      </c>
      <c r="D7" s="12">
        <v>12.0</v>
      </c>
      <c r="E7" s="12">
        <v>25.0</v>
      </c>
      <c r="F7" s="12">
        <v>12.0</v>
      </c>
      <c r="G7" s="12">
        <v>25.0</v>
      </c>
      <c r="H7" s="12">
        <v>10.0</v>
      </c>
      <c r="I7" s="11">
        <f t="shared" si="1"/>
        <v>250</v>
      </c>
      <c r="J7" s="13" t="str">
        <f t="shared" si="2"/>
        <v/>
      </c>
      <c r="K7" s="10"/>
    </row>
    <row r="8">
      <c r="A8" s="10" t="s">
        <v>59</v>
      </c>
      <c r="B8" s="11" t="s">
        <v>60</v>
      </c>
      <c r="C8" s="12">
        <v>10.0</v>
      </c>
      <c r="D8" s="12">
        <v>15.0</v>
      </c>
      <c r="E8" s="12">
        <v>15.0</v>
      </c>
      <c r="F8" s="12">
        <v>15.0</v>
      </c>
      <c r="G8" s="12">
        <v>15.0</v>
      </c>
      <c r="H8" s="12">
        <v>15.0</v>
      </c>
      <c r="I8" s="11">
        <f t="shared" si="1"/>
        <v>225</v>
      </c>
      <c r="J8" s="13" t="str">
        <f t="shared" si="2"/>
        <v>✓</v>
      </c>
      <c r="K8" s="10"/>
    </row>
    <row r="9">
      <c r="A9" s="10" t="s">
        <v>61</v>
      </c>
      <c r="B9" s="11" t="s">
        <v>60</v>
      </c>
      <c r="C9" s="12">
        <v>20.0</v>
      </c>
      <c r="D9" s="12">
        <v>15.0</v>
      </c>
      <c r="E9" s="12">
        <v>20.0</v>
      </c>
      <c r="F9" s="12">
        <v>15.0</v>
      </c>
      <c r="G9" s="12">
        <v>25.0</v>
      </c>
      <c r="H9" s="12">
        <v>12.0</v>
      </c>
      <c r="I9" s="11">
        <f t="shared" si="1"/>
        <v>300</v>
      </c>
      <c r="J9" s="13" t="str">
        <f t="shared" si="2"/>
        <v/>
      </c>
      <c r="K9" s="10"/>
    </row>
    <row r="10">
      <c r="B10" s="11" t="s">
        <v>60</v>
      </c>
      <c r="C10" s="12">
        <v>40.0</v>
      </c>
      <c r="D10" s="12">
        <v>15.0</v>
      </c>
      <c r="E10" s="12">
        <v>40.0</v>
      </c>
      <c r="F10" s="12">
        <v>15.0</v>
      </c>
      <c r="G10" s="12">
        <v>40.0</v>
      </c>
      <c r="H10" s="12">
        <v>15.0</v>
      </c>
      <c r="I10" s="11">
        <f t="shared" si="1"/>
        <v>600</v>
      </c>
      <c r="J10" s="13" t="str">
        <f t="shared" si="2"/>
        <v>✓</v>
      </c>
    </row>
    <row r="11" ht="15.0" customHeight="1">
      <c r="A11" s="8" t="s">
        <v>17</v>
      </c>
      <c r="B11" s="5"/>
      <c r="C11" s="5"/>
      <c r="D11" s="5"/>
      <c r="E11" s="5"/>
      <c r="F11" s="5"/>
      <c r="G11" s="5"/>
      <c r="H11" s="5"/>
      <c r="I11" s="5"/>
      <c r="J11" s="5"/>
      <c r="K11" s="7"/>
    </row>
    <row r="12">
      <c r="A12" s="9" t="s">
        <v>27</v>
      </c>
      <c r="B12" s="9" t="s">
        <v>31</v>
      </c>
      <c r="C12" s="9" t="s">
        <v>33</v>
      </c>
      <c r="D12" s="9" t="s">
        <v>34</v>
      </c>
      <c r="E12" s="9" t="s">
        <v>36</v>
      </c>
      <c r="F12" s="9" t="s">
        <v>38</v>
      </c>
      <c r="G12" s="9" t="s">
        <v>39</v>
      </c>
      <c r="H12" s="9" t="s">
        <v>41</v>
      </c>
      <c r="I12" s="9" t="s">
        <v>43</v>
      </c>
      <c r="J12" s="9" t="s">
        <v>45</v>
      </c>
      <c r="K12" s="9" t="s">
        <v>47</v>
      </c>
    </row>
    <row r="13">
      <c r="A13" s="10" t="s">
        <v>62</v>
      </c>
      <c r="B13" s="11" t="s">
        <v>51</v>
      </c>
      <c r="C13" s="12">
        <v>85.0</v>
      </c>
      <c r="D13" s="12">
        <v>12.0</v>
      </c>
      <c r="E13" s="12">
        <v>105.0</v>
      </c>
      <c r="F13" s="12">
        <v>12.0</v>
      </c>
      <c r="G13" s="12">
        <v>115.0</v>
      </c>
      <c r="H13" s="12">
        <v>12.0</v>
      </c>
      <c r="I13" s="11">
        <f t="shared" ref="I13:I18" si="3">IF(AND(G13&lt;&gt;"",H13&lt;&gt;""),G13*H13,"")</f>
        <v>1380</v>
      </c>
      <c r="J13" s="13" t="str">
        <f t="shared" ref="J13:J18" si="4">IF(H13="","",IF(H13&gt;=VALUE(LEFT(MID(B13,FIND("-",B13)+1,2),2)),"✓",""))</f>
        <v>✓</v>
      </c>
      <c r="K13" s="10"/>
    </row>
    <row r="14">
      <c r="A14" s="10" t="s">
        <v>64</v>
      </c>
      <c r="B14" s="11" t="s">
        <v>51</v>
      </c>
      <c r="C14" s="12">
        <v>80.0</v>
      </c>
      <c r="D14" s="12">
        <v>12.0</v>
      </c>
      <c r="E14" s="12">
        <v>90.0</v>
      </c>
      <c r="F14" s="12">
        <v>8.0</v>
      </c>
      <c r="G14" s="12">
        <v>90.0</v>
      </c>
      <c r="H14" s="12">
        <v>8.0</v>
      </c>
      <c r="I14" s="11">
        <f t="shared" si="3"/>
        <v>720</v>
      </c>
      <c r="J14" s="13" t="str">
        <f t="shared" si="4"/>
        <v/>
      </c>
      <c r="K14" s="10"/>
    </row>
    <row r="15">
      <c r="A15" s="14" t="s">
        <v>65</v>
      </c>
      <c r="B15" s="11" t="s">
        <v>66</v>
      </c>
      <c r="C15" s="12">
        <v>20.0</v>
      </c>
      <c r="D15" s="12">
        <v>8.0</v>
      </c>
      <c r="E15" s="12">
        <v>20.0</v>
      </c>
      <c r="F15" s="12">
        <v>10.0</v>
      </c>
      <c r="G15" s="12">
        <v>20.0</v>
      </c>
      <c r="H15" s="12">
        <v>12.0</v>
      </c>
      <c r="I15" s="11">
        <f t="shared" si="3"/>
        <v>240</v>
      </c>
      <c r="J15" s="13" t="str">
        <f t="shared" si="4"/>
        <v>✓</v>
      </c>
      <c r="K15" s="10"/>
    </row>
    <row r="16">
      <c r="A16" s="10" t="s">
        <v>67</v>
      </c>
      <c r="B16" s="11" t="s">
        <v>60</v>
      </c>
      <c r="C16" s="12">
        <v>12.0</v>
      </c>
      <c r="D16" s="12">
        <v>135.0</v>
      </c>
      <c r="E16" s="12">
        <v>12.0</v>
      </c>
      <c r="F16" s="12">
        <v>135.0</v>
      </c>
      <c r="G16" s="12">
        <v>10.0</v>
      </c>
      <c r="H16" s="12">
        <v>135.0</v>
      </c>
      <c r="I16" s="11">
        <f t="shared" si="3"/>
        <v>1350</v>
      </c>
      <c r="J16" s="13" t="str">
        <f t="shared" si="4"/>
        <v>✓</v>
      </c>
      <c r="K16" s="10"/>
    </row>
    <row r="17">
      <c r="A17" s="10" t="s">
        <v>68</v>
      </c>
      <c r="B17" s="11" t="s">
        <v>69</v>
      </c>
      <c r="C17" s="12">
        <v>90.0</v>
      </c>
      <c r="D17" s="12">
        <v>15.0</v>
      </c>
      <c r="E17" s="12">
        <v>90.0</v>
      </c>
      <c r="F17" s="12">
        <v>15.0</v>
      </c>
      <c r="G17" s="12">
        <v>90.0</v>
      </c>
      <c r="H17" s="12">
        <v>15.0</v>
      </c>
      <c r="I17" s="11">
        <f t="shared" si="3"/>
        <v>1350</v>
      </c>
      <c r="J17" s="13" t="str">
        <f t="shared" si="4"/>
        <v>✓</v>
      </c>
      <c r="K17" s="10"/>
    </row>
    <row r="18">
      <c r="B18" s="11" t="s">
        <v>69</v>
      </c>
      <c r="C18" s="12">
        <v>50.0</v>
      </c>
      <c r="D18" s="12">
        <v>15.0</v>
      </c>
      <c r="E18" s="12">
        <v>70.0</v>
      </c>
      <c r="F18" s="12">
        <v>15.0</v>
      </c>
      <c r="G18" s="12">
        <v>70.0</v>
      </c>
      <c r="H18" s="12">
        <v>15.0</v>
      </c>
      <c r="I18" s="11">
        <f t="shared" si="3"/>
        <v>1050</v>
      </c>
      <c r="J18" s="13" t="str">
        <f t="shared" si="4"/>
        <v>✓</v>
      </c>
    </row>
    <row r="19" ht="15.0" customHeight="1">
      <c r="A19" s="8" t="s">
        <v>26</v>
      </c>
      <c r="B19" s="5"/>
      <c r="C19" s="5"/>
      <c r="D19" s="5"/>
      <c r="E19" s="5"/>
      <c r="F19" s="5"/>
      <c r="G19" s="5"/>
      <c r="H19" s="5"/>
      <c r="I19" s="5"/>
      <c r="J19" s="5"/>
      <c r="K19" s="7"/>
    </row>
    <row r="20">
      <c r="A20" s="9" t="s">
        <v>27</v>
      </c>
      <c r="B20" s="9" t="s">
        <v>31</v>
      </c>
      <c r="C20" s="9" t="s">
        <v>33</v>
      </c>
      <c r="D20" s="9" t="s">
        <v>34</v>
      </c>
      <c r="E20" s="9" t="s">
        <v>36</v>
      </c>
      <c r="F20" s="9" t="s">
        <v>38</v>
      </c>
      <c r="G20" s="9" t="s">
        <v>39</v>
      </c>
      <c r="H20" s="9" t="s">
        <v>41</v>
      </c>
      <c r="I20" s="9" t="s">
        <v>43</v>
      </c>
      <c r="J20" s="9" t="s">
        <v>45</v>
      </c>
      <c r="K20" s="9" t="s">
        <v>47</v>
      </c>
    </row>
    <row r="21" ht="15.75" customHeight="1">
      <c r="A21" s="14" t="s">
        <v>70</v>
      </c>
      <c r="B21" s="11" t="s">
        <v>51</v>
      </c>
      <c r="C21" s="12">
        <v>115.0</v>
      </c>
      <c r="D21" s="12">
        <v>12.0</v>
      </c>
      <c r="E21" s="12">
        <v>115.0</v>
      </c>
      <c r="F21" s="12">
        <v>12.0</v>
      </c>
      <c r="G21" s="12">
        <v>115.0</v>
      </c>
      <c r="H21" s="12">
        <v>12.0</v>
      </c>
      <c r="I21" s="11">
        <f t="shared" ref="I21:I25" si="5">IF(AND(G21&lt;&gt;"",H21&lt;&gt;""),G21*H21,"")</f>
        <v>1380</v>
      </c>
      <c r="J21" s="13" t="str">
        <f t="shared" ref="J21:J25" si="6">IF(H21="","",IF(H21&gt;=VALUE(LEFT(MID(B21,FIND("-",B21)+1,2),2)),"✓",""))</f>
        <v>✓</v>
      </c>
      <c r="K21" s="10"/>
    </row>
    <row r="22" ht="15.75" customHeight="1">
      <c r="A22" s="10" t="s">
        <v>71</v>
      </c>
      <c r="B22" s="11" t="s">
        <v>51</v>
      </c>
      <c r="C22" s="12">
        <v>135.0</v>
      </c>
      <c r="D22" s="12">
        <v>15.0</v>
      </c>
      <c r="E22" s="12">
        <v>135.0</v>
      </c>
      <c r="F22" s="12">
        <v>12.0</v>
      </c>
      <c r="G22" s="12">
        <v>135.0</v>
      </c>
      <c r="H22" s="12">
        <v>15.0</v>
      </c>
      <c r="I22" s="11">
        <f t="shared" si="5"/>
        <v>2025</v>
      </c>
      <c r="J22" s="13" t="str">
        <f t="shared" si="6"/>
        <v>✓</v>
      </c>
      <c r="K22" s="10"/>
    </row>
    <row r="23" ht="15.75" customHeight="1">
      <c r="A23" s="10" t="s">
        <v>72</v>
      </c>
      <c r="B23" s="11" t="s">
        <v>73</v>
      </c>
      <c r="C23" s="12">
        <v>40.0</v>
      </c>
      <c r="D23" s="12">
        <v>12.0</v>
      </c>
      <c r="E23" s="12">
        <v>50.0</v>
      </c>
      <c r="F23" s="12">
        <v>12.0</v>
      </c>
      <c r="G23" s="12">
        <v>50.0</v>
      </c>
      <c r="H23" s="12">
        <v>12.0</v>
      </c>
      <c r="I23" s="11">
        <f t="shared" si="5"/>
        <v>600</v>
      </c>
      <c r="J23" s="13" t="str">
        <f t="shared" si="6"/>
        <v>✓</v>
      </c>
      <c r="K23" s="10"/>
    </row>
    <row r="24" ht="15.75" customHeight="1">
      <c r="A24" s="10" t="s">
        <v>74</v>
      </c>
      <c r="B24" s="11" t="s">
        <v>75</v>
      </c>
      <c r="C24" s="12">
        <v>0.0</v>
      </c>
      <c r="D24" s="12">
        <v>15.0</v>
      </c>
      <c r="E24" s="12">
        <v>20.0</v>
      </c>
      <c r="F24" s="12">
        <v>15.0</v>
      </c>
      <c r="G24" s="12">
        <v>20.0</v>
      </c>
      <c r="H24" s="12">
        <v>15.0</v>
      </c>
      <c r="I24" s="11">
        <f t="shared" si="5"/>
        <v>300</v>
      </c>
      <c r="J24" s="13" t="str">
        <f t="shared" si="6"/>
        <v>✓</v>
      </c>
      <c r="K24" s="10"/>
    </row>
    <row r="25" ht="15.75" customHeight="1">
      <c r="A25" s="10" t="s">
        <v>76</v>
      </c>
      <c r="B25" s="11" t="s">
        <v>51</v>
      </c>
      <c r="C25" s="12">
        <v>100.0</v>
      </c>
      <c r="D25" s="12">
        <v>10.0</v>
      </c>
      <c r="E25" s="12">
        <v>100.0</v>
      </c>
      <c r="F25" s="12">
        <v>10.0</v>
      </c>
      <c r="G25" s="12">
        <v>100.0</v>
      </c>
      <c r="H25" s="12">
        <v>10.0</v>
      </c>
      <c r="I25" s="11">
        <f t="shared" si="5"/>
        <v>1000</v>
      </c>
      <c r="J25" s="13" t="str">
        <f t="shared" si="6"/>
        <v/>
      </c>
      <c r="K25" s="10"/>
    </row>
    <row r="26" ht="15.75" customHeight="1"/>
    <row r="27" ht="15.75" customHeight="1"/>
    <row r="28" ht="15.75" customHeight="1">
      <c r="A28" s="15" t="s">
        <v>77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K1"/>
    <mergeCell ref="A3:K3"/>
    <mergeCell ref="A11:K11"/>
    <mergeCell ref="A19:K19"/>
    <mergeCell ref="A28:K28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4.0"/>
    <col customWidth="1" min="3" max="8" width="9.0"/>
    <col customWidth="1" min="9" max="9" width="12.0"/>
    <col customWidth="1" min="10" max="10" width="9.0"/>
    <col customWidth="1" min="11" max="11" width="30.0"/>
    <col customWidth="1" min="12" max="26" width="8.71"/>
  </cols>
  <sheetData>
    <row r="1" ht="24.0" customHeight="1">
      <c r="A1" s="3" t="s">
        <v>2</v>
      </c>
      <c r="B1" s="5"/>
      <c r="C1" s="5"/>
      <c r="D1" s="5"/>
      <c r="E1" s="5"/>
      <c r="F1" s="5"/>
      <c r="G1" s="5"/>
      <c r="H1" s="5"/>
      <c r="I1" s="5"/>
      <c r="J1" s="5"/>
      <c r="K1" s="7"/>
    </row>
    <row r="3" ht="15.0" customHeight="1">
      <c r="A3" s="8" t="s">
        <v>7</v>
      </c>
      <c r="B3" s="5"/>
      <c r="C3" s="5"/>
      <c r="D3" s="5"/>
      <c r="E3" s="5"/>
      <c r="F3" s="5"/>
      <c r="G3" s="5"/>
      <c r="H3" s="5"/>
      <c r="I3" s="5"/>
      <c r="J3" s="5"/>
      <c r="K3" s="7"/>
    </row>
    <row r="4">
      <c r="A4" s="9" t="s">
        <v>27</v>
      </c>
      <c r="B4" s="9" t="s">
        <v>31</v>
      </c>
      <c r="C4" s="9" t="s">
        <v>33</v>
      </c>
      <c r="D4" s="9" t="s">
        <v>34</v>
      </c>
      <c r="E4" s="9" t="s">
        <v>36</v>
      </c>
      <c r="F4" s="9" t="s">
        <v>38</v>
      </c>
      <c r="G4" s="9" t="s">
        <v>39</v>
      </c>
      <c r="H4" s="9" t="s">
        <v>41</v>
      </c>
      <c r="I4" s="9" t="s">
        <v>43</v>
      </c>
      <c r="J4" s="9" t="s">
        <v>45</v>
      </c>
      <c r="K4" s="9" t="s">
        <v>47</v>
      </c>
    </row>
    <row r="5">
      <c r="A5" s="10" t="s">
        <v>49</v>
      </c>
      <c r="B5" s="11" t="s">
        <v>51</v>
      </c>
      <c r="C5" s="12">
        <v>35.0</v>
      </c>
      <c r="D5" s="12">
        <v>12.0</v>
      </c>
      <c r="E5" s="12">
        <v>40.0</v>
      </c>
      <c r="F5" s="12">
        <v>8.0</v>
      </c>
      <c r="G5" s="12">
        <v>40.0</v>
      </c>
      <c r="H5" s="12">
        <v>8.0</v>
      </c>
      <c r="I5" s="11">
        <f t="shared" ref="I5:I10" si="1">IF(AND(G5&lt;&gt;"",H5&lt;&gt;""),G5*H5,"")</f>
        <v>320</v>
      </c>
      <c r="J5" s="13" t="str">
        <f t="shared" ref="J5:J10" si="2">IF(H5="","",IF(H5&gt;=VALUE(LEFT(MID(B5,FIND("-",B5)+1,2),2)),"✓",""))</f>
        <v/>
      </c>
      <c r="K5" s="10"/>
    </row>
    <row r="6">
      <c r="A6" s="10" t="s">
        <v>57</v>
      </c>
      <c r="B6" s="11" t="s">
        <v>51</v>
      </c>
      <c r="C6" s="12">
        <v>35.0</v>
      </c>
      <c r="D6" s="12">
        <v>12.0</v>
      </c>
      <c r="E6" s="12">
        <v>40.0</v>
      </c>
      <c r="F6" s="12">
        <v>10.0</v>
      </c>
      <c r="G6" s="12">
        <v>40.0</v>
      </c>
      <c r="H6" s="12">
        <v>11.0</v>
      </c>
      <c r="I6" s="11">
        <f t="shared" si="1"/>
        <v>440</v>
      </c>
      <c r="J6" s="13" t="str">
        <f t="shared" si="2"/>
        <v/>
      </c>
      <c r="K6" s="10"/>
    </row>
    <row r="7">
      <c r="A7" s="10" t="s">
        <v>58</v>
      </c>
      <c r="B7" s="11" t="s">
        <v>51</v>
      </c>
      <c r="C7" s="12">
        <v>20.0</v>
      </c>
      <c r="D7" s="12">
        <v>15.0</v>
      </c>
      <c r="E7" s="12">
        <v>20.0</v>
      </c>
      <c r="F7" s="12">
        <v>15.0</v>
      </c>
      <c r="G7" s="12">
        <v>20.0</v>
      </c>
      <c r="H7" s="12">
        <v>15.0</v>
      </c>
      <c r="I7" s="11">
        <f t="shared" si="1"/>
        <v>300</v>
      </c>
      <c r="J7" s="13" t="str">
        <f t="shared" si="2"/>
        <v>✓</v>
      </c>
      <c r="K7" s="10"/>
    </row>
    <row r="8">
      <c r="A8" s="10" t="s">
        <v>59</v>
      </c>
      <c r="B8" s="11" t="s">
        <v>60</v>
      </c>
      <c r="C8" s="12">
        <v>15.0</v>
      </c>
      <c r="D8" s="12">
        <v>15.0</v>
      </c>
      <c r="E8" s="12">
        <v>15.0</v>
      </c>
      <c r="F8" s="12">
        <v>15.0</v>
      </c>
      <c r="G8" s="12">
        <v>15.0</v>
      </c>
      <c r="H8" s="12">
        <v>15.0</v>
      </c>
      <c r="I8" s="11">
        <f t="shared" si="1"/>
        <v>225</v>
      </c>
      <c r="J8" s="13" t="str">
        <f t="shared" si="2"/>
        <v>✓</v>
      </c>
      <c r="K8" s="10"/>
    </row>
    <row r="9">
      <c r="A9" s="10" t="s">
        <v>61</v>
      </c>
      <c r="B9" s="11" t="s">
        <v>60</v>
      </c>
      <c r="C9" s="12">
        <v>20.0</v>
      </c>
      <c r="D9" s="12">
        <v>15.0</v>
      </c>
      <c r="E9" s="12">
        <v>20.0</v>
      </c>
      <c r="F9" s="12">
        <v>14.0</v>
      </c>
      <c r="G9" s="12">
        <v>20.0</v>
      </c>
      <c r="H9" s="12">
        <v>12.0</v>
      </c>
      <c r="I9" s="11">
        <f t="shared" si="1"/>
        <v>240</v>
      </c>
      <c r="J9" s="13" t="str">
        <f t="shared" si="2"/>
        <v/>
      </c>
      <c r="K9" s="10"/>
    </row>
    <row r="10">
      <c r="B10" s="11" t="s">
        <v>60</v>
      </c>
      <c r="C10" s="12">
        <v>40.0</v>
      </c>
      <c r="D10" s="12">
        <v>14.0</v>
      </c>
      <c r="E10" s="12">
        <v>40.0</v>
      </c>
      <c r="F10" s="12">
        <v>13.0</v>
      </c>
      <c r="G10" s="12">
        <v>40.0</v>
      </c>
      <c r="H10" s="12">
        <v>12.0</v>
      </c>
      <c r="I10" s="11">
        <f t="shared" si="1"/>
        <v>480</v>
      </c>
      <c r="J10" s="13" t="str">
        <f t="shared" si="2"/>
        <v/>
      </c>
    </row>
    <row r="11" ht="15.0" customHeight="1">
      <c r="A11" s="8" t="s">
        <v>17</v>
      </c>
      <c r="B11" s="5"/>
      <c r="C11" s="5"/>
      <c r="D11" s="5"/>
      <c r="E11" s="5"/>
      <c r="F11" s="5"/>
      <c r="G11" s="5"/>
      <c r="H11" s="5"/>
      <c r="I11" s="5"/>
      <c r="J11" s="5"/>
      <c r="K11" s="7"/>
    </row>
    <row r="12">
      <c r="A12" s="9" t="s">
        <v>27</v>
      </c>
      <c r="B12" s="9" t="s">
        <v>31</v>
      </c>
      <c r="C12" s="9" t="s">
        <v>33</v>
      </c>
      <c r="D12" s="9" t="s">
        <v>34</v>
      </c>
      <c r="E12" s="9" t="s">
        <v>36</v>
      </c>
      <c r="F12" s="9" t="s">
        <v>38</v>
      </c>
      <c r="G12" s="9" t="s">
        <v>39</v>
      </c>
      <c r="H12" s="9" t="s">
        <v>41</v>
      </c>
      <c r="I12" s="9" t="s">
        <v>43</v>
      </c>
      <c r="J12" s="9" t="s">
        <v>45</v>
      </c>
      <c r="K12" s="9" t="s">
        <v>47</v>
      </c>
    </row>
    <row r="13">
      <c r="A13" s="10" t="s">
        <v>62</v>
      </c>
      <c r="B13" s="11" t="s">
        <v>51</v>
      </c>
      <c r="C13" s="12">
        <v>115.0</v>
      </c>
      <c r="D13" s="12">
        <v>12.0</v>
      </c>
      <c r="E13" s="12">
        <v>115.0</v>
      </c>
      <c r="F13" s="12">
        <v>12.0</v>
      </c>
      <c r="G13" s="12">
        <v>115.0</v>
      </c>
      <c r="H13" s="12">
        <v>12.0</v>
      </c>
      <c r="I13" s="11">
        <f t="shared" ref="I13:I18" si="3">IF(AND(G13&lt;&gt;"",H13&lt;&gt;""),G13*H13,"")</f>
        <v>1380</v>
      </c>
      <c r="J13" s="13" t="str">
        <f t="shared" ref="J13:J18" si="4">IF(H13="","",IF(H13&gt;=VALUE(LEFT(MID(B13,FIND("-",B13)+1,2),2)),"✓",""))</f>
        <v>✓</v>
      </c>
      <c r="K13" s="10"/>
    </row>
    <row r="14">
      <c r="A14" s="10" t="s">
        <v>64</v>
      </c>
      <c r="B14" s="11" t="s">
        <v>51</v>
      </c>
      <c r="C14" s="12">
        <v>80.0</v>
      </c>
      <c r="D14" s="12">
        <v>12.0</v>
      </c>
      <c r="E14" s="12">
        <v>90.0</v>
      </c>
      <c r="F14" s="12">
        <v>10.0</v>
      </c>
      <c r="G14" s="12">
        <v>90.0</v>
      </c>
      <c r="H14" s="12">
        <v>10.0</v>
      </c>
      <c r="I14" s="11">
        <f t="shared" si="3"/>
        <v>900</v>
      </c>
      <c r="J14" s="13" t="str">
        <f t="shared" si="4"/>
        <v/>
      </c>
      <c r="K14" s="10"/>
    </row>
    <row r="15">
      <c r="A15" s="14" t="s">
        <v>65</v>
      </c>
      <c r="B15" s="11" t="s">
        <v>66</v>
      </c>
      <c r="C15" s="12">
        <v>20.0</v>
      </c>
      <c r="D15" s="12">
        <v>12.0</v>
      </c>
      <c r="E15" s="12">
        <v>20.0</v>
      </c>
      <c r="F15" s="12">
        <v>12.0</v>
      </c>
      <c r="G15" s="12">
        <v>20.0</v>
      </c>
      <c r="H15" s="12">
        <v>12.0</v>
      </c>
      <c r="I15" s="11">
        <f t="shared" si="3"/>
        <v>240</v>
      </c>
      <c r="J15" s="13" t="str">
        <f t="shared" si="4"/>
        <v>✓</v>
      </c>
      <c r="K15" s="10"/>
    </row>
    <row r="16">
      <c r="A16" s="10" t="s">
        <v>67</v>
      </c>
      <c r="B16" s="11" t="s">
        <v>60</v>
      </c>
      <c r="C16" s="12">
        <v>135.0</v>
      </c>
      <c r="D16" s="12">
        <v>14.0</v>
      </c>
      <c r="E16" s="12">
        <v>135.0</v>
      </c>
      <c r="F16" s="12">
        <v>14.0</v>
      </c>
      <c r="G16" s="12">
        <v>135.0</v>
      </c>
      <c r="H16" s="12">
        <v>14.0</v>
      </c>
      <c r="I16" s="11">
        <f t="shared" si="3"/>
        <v>1890</v>
      </c>
      <c r="J16" s="13" t="str">
        <f t="shared" si="4"/>
        <v/>
      </c>
      <c r="K16" s="10"/>
    </row>
    <row r="17">
      <c r="A17" s="10" t="s">
        <v>68</v>
      </c>
      <c r="B17" s="11" t="s">
        <v>69</v>
      </c>
      <c r="C17" s="12">
        <v>90.0</v>
      </c>
      <c r="D17" s="12">
        <v>15.0</v>
      </c>
      <c r="E17" s="12">
        <v>90.0</v>
      </c>
      <c r="F17" s="12">
        <v>13.0</v>
      </c>
      <c r="G17" s="12">
        <v>90.0</v>
      </c>
      <c r="H17" s="12">
        <v>13.0</v>
      </c>
      <c r="I17" s="11">
        <f t="shared" si="3"/>
        <v>1170</v>
      </c>
      <c r="J17" s="13" t="str">
        <f t="shared" si="4"/>
        <v/>
      </c>
      <c r="K17" s="10"/>
    </row>
    <row r="18">
      <c r="B18" s="11" t="s">
        <v>69</v>
      </c>
      <c r="C18" s="12">
        <v>50.0</v>
      </c>
      <c r="D18" s="12">
        <v>15.0</v>
      </c>
      <c r="E18" s="12">
        <v>55.0</v>
      </c>
      <c r="F18" s="12">
        <v>15.0</v>
      </c>
      <c r="G18" s="12">
        <v>55.0</v>
      </c>
      <c r="H18" s="12">
        <v>14.0</v>
      </c>
      <c r="I18" s="11">
        <f t="shared" si="3"/>
        <v>770</v>
      </c>
      <c r="J18" s="13" t="str">
        <f t="shared" si="4"/>
        <v/>
      </c>
    </row>
    <row r="19" ht="15.0" customHeight="1">
      <c r="A19" s="8" t="s">
        <v>26</v>
      </c>
      <c r="B19" s="5"/>
      <c r="C19" s="5"/>
      <c r="D19" s="5"/>
      <c r="E19" s="5"/>
      <c r="F19" s="5"/>
      <c r="G19" s="5"/>
      <c r="H19" s="5"/>
      <c r="I19" s="5"/>
      <c r="J19" s="5"/>
      <c r="K19" s="7"/>
    </row>
    <row r="20">
      <c r="A20" s="9" t="s">
        <v>27</v>
      </c>
      <c r="B20" s="9" t="s">
        <v>31</v>
      </c>
      <c r="C20" s="9" t="s">
        <v>33</v>
      </c>
      <c r="D20" s="9" t="s">
        <v>34</v>
      </c>
      <c r="E20" s="9" t="s">
        <v>36</v>
      </c>
      <c r="F20" s="9" t="s">
        <v>38</v>
      </c>
      <c r="G20" s="9" t="s">
        <v>39</v>
      </c>
      <c r="H20" s="9" t="s">
        <v>41</v>
      </c>
      <c r="I20" s="9" t="s">
        <v>43</v>
      </c>
      <c r="J20" s="9" t="s">
        <v>45</v>
      </c>
      <c r="K20" s="9" t="s">
        <v>47</v>
      </c>
    </row>
    <row r="21" ht="15.75" customHeight="1">
      <c r="A21" s="14" t="s">
        <v>70</v>
      </c>
      <c r="B21" s="11" t="s">
        <v>51</v>
      </c>
      <c r="C21" s="12">
        <v>115.0</v>
      </c>
      <c r="D21" s="12">
        <v>12.0</v>
      </c>
      <c r="E21" s="12">
        <v>120.0</v>
      </c>
      <c r="F21" s="12">
        <v>12.0</v>
      </c>
      <c r="G21" s="12">
        <v>112.0</v>
      </c>
      <c r="H21" s="12">
        <v>11.0</v>
      </c>
      <c r="I21" s="11">
        <f t="shared" ref="I21:I25" si="5">IF(AND(G21&lt;&gt;"",H21&lt;&gt;""),G21*H21,"")</f>
        <v>1232</v>
      </c>
      <c r="J21" s="13" t="str">
        <f t="shared" ref="J21:J25" si="6">IF(H21="","",IF(H21&gt;=VALUE(LEFT(MID(B21,FIND("-",B21)+1,2),2)),"✓",""))</f>
        <v/>
      </c>
      <c r="K21" s="10"/>
    </row>
    <row r="22" ht="15.75" customHeight="1">
      <c r="A22" s="10" t="s">
        <v>71</v>
      </c>
      <c r="B22" s="11" t="s">
        <v>51</v>
      </c>
      <c r="C22" s="12">
        <v>135.0</v>
      </c>
      <c r="D22" s="12">
        <v>19.0</v>
      </c>
      <c r="E22" s="12">
        <v>135.0</v>
      </c>
      <c r="F22" s="12">
        <v>14.0</v>
      </c>
      <c r="G22" s="12">
        <v>135.0</v>
      </c>
      <c r="H22" s="12">
        <v>12.0</v>
      </c>
      <c r="I22" s="11">
        <f t="shared" si="5"/>
        <v>1620</v>
      </c>
      <c r="J22" s="13" t="str">
        <f t="shared" si="6"/>
        <v>✓</v>
      </c>
      <c r="K22" s="10"/>
    </row>
    <row r="23" ht="15.75" customHeight="1">
      <c r="A23" s="10" t="s">
        <v>72</v>
      </c>
      <c r="B23" s="11" t="s">
        <v>73</v>
      </c>
      <c r="C23" s="12">
        <v>50.0</v>
      </c>
      <c r="D23" s="12">
        <v>12.0</v>
      </c>
      <c r="E23" s="12">
        <v>60.0</v>
      </c>
      <c r="F23" s="12">
        <v>8.0</v>
      </c>
      <c r="G23" s="12">
        <v>60.0</v>
      </c>
      <c r="H23" s="12">
        <v>9.0</v>
      </c>
      <c r="I23" s="11">
        <f t="shared" si="5"/>
        <v>540</v>
      </c>
      <c r="J23" s="13" t="str">
        <f t="shared" si="6"/>
        <v/>
      </c>
      <c r="K23" s="10"/>
    </row>
    <row r="24" ht="15.75" customHeight="1">
      <c r="A24" s="10" t="s">
        <v>74</v>
      </c>
      <c r="B24" s="11" t="s">
        <v>75</v>
      </c>
      <c r="C24" s="12">
        <v>20.0</v>
      </c>
      <c r="D24" s="12">
        <v>15.0</v>
      </c>
      <c r="E24" s="12">
        <v>30.0</v>
      </c>
      <c r="F24" s="12">
        <v>15.0</v>
      </c>
      <c r="G24" s="12">
        <v>30.0</v>
      </c>
      <c r="H24" s="12">
        <v>10.0</v>
      </c>
      <c r="I24" s="11">
        <f t="shared" si="5"/>
        <v>300</v>
      </c>
      <c r="J24" s="13" t="str">
        <f t="shared" si="6"/>
        <v/>
      </c>
      <c r="K24" s="10"/>
    </row>
    <row r="25" ht="15.75" customHeight="1">
      <c r="A25" s="10" t="s">
        <v>76</v>
      </c>
      <c r="B25" s="11" t="s">
        <v>51</v>
      </c>
      <c r="C25" s="12">
        <v>100.0</v>
      </c>
      <c r="D25" s="12">
        <v>11.0</v>
      </c>
      <c r="E25" s="12">
        <v>100.0</v>
      </c>
      <c r="F25" s="12">
        <v>10.0</v>
      </c>
      <c r="G25" s="12">
        <v>100.0</v>
      </c>
      <c r="H25" s="12">
        <v>8.0</v>
      </c>
      <c r="I25" s="11">
        <f t="shared" si="5"/>
        <v>800</v>
      </c>
      <c r="J25" s="13" t="str">
        <f t="shared" si="6"/>
        <v/>
      </c>
      <c r="K25" s="10"/>
    </row>
    <row r="26" ht="15.75" customHeight="1"/>
    <row r="27" ht="15.75" customHeight="1"/>
    <row r="28" ht="15.75" customHeight="1">
      <c r="A28" s="15" t="s">
        <v>77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K1"/>
    <mergeCell ref="A3:K3"/>
    <mergeCell ref="A11:K11"/>
    <mergeCell ref="A19:K19"/>
    <mergeCell ref="A28:K28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4.0"/>
    <col customWidth="1" min="3" max="8" width="9.0"/>
    <col customWidth="1" min="9" max="9" width="12.0"/>
    <col customWidth="1" min="10" max="10" width="9.0"/>
    <col customWidth="1" min="11" max="11" width="30.0"/>
    <col customWidth="1" min="12" max="26" width="8.71"/>
  </cols>
  <sheetData>
    <row r="1" ht="24.0" customHeight="1">
      <c r="A1" s="3" t="s">
        <v>4</v>
      </c>
      <c r="B1" s="5"/>
      <c r="C1" s="5"/>
      <c r="D1" s="5"/>
      <c r="E1" s="5"/>
      <c r="F1" s="5"/>
      <c r="G1" s="5"/>
      <c r="H1" s="5"/>
      <c r="I1" s="5"/>
      <c r="J1" s="5"/>
      <c r="K1" s="7"/>
    </row>
    <row r="3" ht="15.0" customHeight="1">
      <c r="A3" s="8" t="s">
        <v>7</v>
      </c>
      <c r="B3" s="5"/>
      <c r="C3" s="5"/>
      <c r="D3" s="5"/>
      <c r="E3" s="5"/>
      <c r="F3" s="5"/>
      <c r="G3" s="5"/>
      <c r="H3" s="5"/>
      <c r="I3" s="5"/>
      <c r="J3" s="5"/>
      <c r="K3" s="7"/>
    </row>
    <row r="4">
      <c r="A4" s="9" t="s">
        <v>27</v>
      </c>
      <c r="B4" s="9" t="s">
        <v>31</v>
      </c>
      <c r="C4" s="9" t="s">
        <v>33</v>
      </c>
      <c r="D4" s="9" t="s">
        <v>34</v>
      </c>
      <c r="E4" s="9" t="s">
        <v>36</v>
      </c>
      <c r="F4" s="9" t="s">
        <v>38</v>
      </c>
      <c r="G4" s="9" t="s">
        <v>39</v>
      </c>
      <c r="H4" s="9" t="s">
        <v>41</v>
      </c>
      <c r="I4" s="9" t="s">
        <v>43</v>
      </c>
      <c r="J4" s="9" t="s">
        <v>45</v>
      </c>
      <c r="K4" s="9" t="s">
        <v>47</v>
      </c>
    </row>
    <row r="5">
      <c r="A5" s="10" t="s">
        <v>49</v>
      </c>
      <c r="B5" s="11" t="s">
        <v>51</v>
      </c>
      <c r="C5" s="12">
        <v>40.0</v>
      </c>
      <c r="D5" s="12">
        <v>12.0</v>
      </c>
      <c r="E5" s="12">
        <v>40.0</v>
      </c>
      <c r="F5" s="12">
        <v>8.0</v>
      </c>
      <c r="G5" s="12">
        <v>40.0</v>
      </c>
      <c r="H5" s="12">
        <v>9.0</v>
      </c>
      <c r="I5" s="11">
        <f t="shared" ref="I5:I10" si="1">IF(AND(G5&lt;&gt;"",H5&lt;&gt;""),G5*H5,"")</f>
        <v>360</v>
      </c>
      <c r="J5" s="13" t="str">
        <f t="shared" ref="J5:J10" si="2">IF(H5="","",IF(H5&gt;=VALUE(LEFT(MID(B5,FIND("-",B5)+1,2),2)),"✓",""))</f>
        <v/>
      </c>
      <c r="K5" s="10"/>
    </row>
    <row r="6">
      <c r="A6" s="10" t="s">
        <v>57</v>
      </c>
      <c r="B6" s="11" t="s">
        <v>51</v>
      </c>
      <c r="C6" s="12">
        <v>40.0</v>
      </c>
      <c r="D6" s="12">
        <v>12.0</v>
      </c>
      <c r="E6" s="12">
        <v>40.0</v>
      </c>
      <c r="F6" s="12">
        <v>12.0</v>
      </c>
      <c r="G6" s="12">
        <v>40.0</v>
      </c>
      <c r="H6" s="12">
        <v>12.0</v>
      </c>
      <c r="I6" s="11">
        <f t="shared" si="1"/>
        <v>480</v>
      </c>
      <c r="J6" s="13" t="str">
        <f t="shared" si="2"/>
        <v>✓</v>
      </c>
      <c r="K6" s="10"/>
    </row>
    <row r="7">
      <c r="A7" s="10" t="s">
        <v>58</v>
      </c>
      <c r="B7" s="11" t="s">
        <v>51</v>
      </c>
      <c r="C7" s="12">
        <v>20.0</v>
      </c>
      <c r="D7" s="12">
        <v>15.0</v>
      </c>
      <c r="E7" s="12">
        <v>20.0</v>
      </c>
      <c r="F7" s="12">
        <v>13.0</v>
      </c>
      <c r="G7" s="12">
        <v>20.0</v>
      </c>
      <c r="H7" s="12">
        <v>14.0</v>
      </c>
      <c r="I7" s="11">
        <f t="shared" si="1"/>
        <v>280</v>
      </c>
      <c r="J7" s="13" t="str">
        <f t="shared" si="2"/>
        <v>✓</v>
      </c>
      <c r="K7" s="10"/>
    </row>
    <row r="8">
      <c r="A8" s="10" t="s">
        <v>59</v>
      </c>
      <c r="B8" s="11" t="s">
        <v>60</v>
      </c>
      <c r="C8" s="12">
        <v>15.0</v>
      </c>
      <c r="D8" s="12">
        <v>15.0</v>
      </c>
      <c r="E8" s="12">
        <v>15.0</v>
      </c>
      <c r="F8" s="12">
        <v>11.0</v>
      </c>
      <c r="G8" s="12">
        <v>15.0</v>
      </c>
      <c r="H8" s="12">
        <v>12.0</v>
      </c>
      <c r="I8" s="11">
        <f t="shared" si="1"/>
        <v>180</v>
      </c>
      <c r="J8" s="13" t="str">
        <f t="shared" si="2"/>
        <v/>
      </c>
      <c r="K8" s="10"/>
    </row>
    <row r="9">
      <c r="A9" s="10" t="s">
        <v>61</v>
      </c>
      <c r="B9" s="11" t="s">
        <v>60</v>
      </c>
      <c r="C9" s="12">
        <v>20.0</v>
      </c>
      <c r="D9" s="12">
        <v>15.0</v>
      </c>
      <c r="E9" s="12">
        <v>20.0</v>
      </c>
      <c r="F9" s="12">
        <v>15.0</v>
      </c>
      <c r="G9" s="12">
        <v>20.0</v>
      </c>
      <c r="H9" s="12">
        <v>15.0</v>
      </c>
      <c r="I9" s="11">
        <f t="shared" si="1"/>
        <v>300</v>
      </c>
      <c r="J9" s="13" t="str">
        <f t="shared" si="2"/>
        <v>✓</v>
      </c>
      <c r="K9" s="10"/>
    </row>
    <row r="10">
      <c r="B10" s="11" t="s">
        <v>60</v>
      </c>
      <c r="C10" s="12">
        <v>40.0</v>
      </c>
      <c r="D10" s="12">
        <v>15.0</v>
      </c>
      <c r="E10" s="12">
        <v>40.0</v>
      </c>
      <c r="F10" s="12">
        <v>13.0</v>
      </c>
      <c r="G10" s="12">
        <v>40.0</v>
      </c>
      <c r="H10" s="12">
        <v>13.0</v>
      </c>
      <c r="I10" s="11">
        <f t="shared" si="1"/>
        <v>520</v>
      </c>
      <c r="J10" s="13" t="str">
        <f t="shared" si="2"/>
        <v/>
      </c>
    </row>
    <row r="11" ht="15.0" customHeight="1">
      <c r="A11" s="8" t="s">
        <v>17</v>
      </c>
      <c r="B11" s="5"/>
      <c r="C11" s="5"/>
      <c r="D11" s="5"/>
      <c r="E11" s="5"/>
      <c r="F11" s="5"/>
      <c r="G11" s="5"/>
      <c r="H11" s="5"/>
      <c r="I11" s="5"/>
      <c r="J11" s="5"/>
      <c r="K11" s="7"/>
    </row>
    <row r="12">
      <c r="A12" s="9" t="s">
        <v>27</v>
      </c>
      <c r="B12" s="9" t="s">
        <v>31</v>
      </c>
      <c r="C12" s="9" t="s">
        <v>33</v>
      </c>
      <c r="D12" s="9" t="s">
        <v>34</v>
      </c>
      <c r="E12" s="9" t="s">
        <v>36</v>
      </c>
      <c r="F12" s="9" t="s">
        <v>38</v>
      </c>
      <c r="G12" s="9" t="s">
        <v>39</v>
      </c>
      <c r="H12" s="9" t="s">
        <v>41</v>
      </c>
      <c r="I12" s="9" t="s">
        <v>43</v>
      </c>
      <c r="J12" s="9" t="s">
        <v>45</v>
      </c>
      <c r="K12" s="9" t="s">
        <v>47</v>
      </c>
    </row>
    <row r="13">
      <c r="A13" s="10" t="s">
        <v>62</v>
      </c>
      <c r="B13" s="11" t="s">
        <v>51</v>
      </c>
      <c r="C13" s="12">
        <v>115.0</v>
      </c>
      <c r="D13" s="12">
        <v>12.0</v>
      </c>
      <c r="E13" s="12">
        <v>115.0</v>
      </c>
      <c r="F13" s="12">
        <v>12.0</v>
      </c>
      <c r="G13" s="12">
        <v>120.0</v>
      </c>
      <c r="H13" s="12">
        <v>10.0</v>
      </c>
      <c r="I13" s="11">
        <f t="shared" ref="I13:I18" si="3">IF(AND(G13&lt;&gt;"",H13&lt;&gt;""),G13*H13,"")</f>
        <v>1200</v>
      </c>
      <c r="J13" s="13" t="str">
        <f t="shared" ref="J13:J18" si="4">IF(H13="","",IF(H13&gt;=VALUE(LEFT(MID(B13,FIND("-",B13)+1,2),2)),"✓",""))</f>
        <v/>
      </c>
      <c r="K13" s="10"/>
    </row>
    <row r="14">
      <c r="A14" s="10" t="s">
        <v>64</v>
      </c>
      <c r="B14" s="11" t="s">
        <v>51</v>
      </c>
      <c r="C14" s="12">
        <v>90.0</v>
      </c>
      <c r="D14" s="12">
        <v>12.0</v>
      </c>
      <c r="E14" s="12">
        <v>100.0</v>
      </c>
      <c r="F14" s="12">
        <v>11.0</v>
      </c>
      <c r="G14" s="12">
        <v>100.0</v>
      </c>
      <c r="H14" s="12">
        <v>11.0</v>
      </c>
      <c r="I14" s="11">
        <f t="shared" si="3"/>
        <v>1100</v>
      </c>
      <c r="J14" s="13" t="str">
        <f t="shared" si="4"/>
        <v/>
      </c>
      <c r="K14" s="10"/>
    </row>
    <row r="15">
      <c r="A15" s="14" t="s">
        <v>65</v>
      </c>
      <c r="B15" s="11" t="s">
        <v>66</v>
      </c>
      <c r="C15" s="12">
        <v>20.0</v>
      </c>
      <c r="D15" s="12">
        <v>12.0</v>
      </c>
      <c r="E15" s="12">
        <v>20.0</v>
      </c>
      <c r="F15" s="12">
        <v>12.0</v>
      </c>
      <c r="G15" s="12">
        <v>20.0</v>
      </c>
      <c r="H15" s="12">
        <v>12.0</v>
      </c>
      <c r="I15" s="11">
        <f t="shared" si="3"/>
        <v>240</v>
      </c>
      <c r="J15" s="13" t="str">
        <f t="shared" si="4"/>
        <v>✓</v>
      </c>
      <c r="K15" s="10"/>
    </row>
    <row r="16">
      <c r="A16" s="10" t="s">
        <v>67</v>
      </c>
      <c r="B16" s="11" t="s">
        <v>60</v>
      </c>
      <c r="C16" s="12">
        <v>135.0</v>
      </c>
      <c r="D16" s="12">
        <v>12.0</v>
      </c>
      <c r="E16" s="12">
        <v>135.0</v>
      </c>
      <c r="F16" s="12">
        <v>12.0</v>
      </c>
      <c r="G16" s="12">
        <v>135.0</v>
      </c>
      <c r="H16" s="12"/>
      <c r="I16" s="11" t="str">
        <f t="shared" si="3"/>
        <v/>
      </c>
      <c r="J16" s="13" t="str">
        <f t="shared" si="4"/>
        <v/>
      </c>
      <c r="K16" s="10"/>
    </row>
    <row r="17">
      <c r="A17" s="10" t="s">
        <v>68</v>
      </c>
      <c r="B17" s="11" t="s">
        <v>69</v>
      </c>
      <c r="C17" s="12">
        <v>90.0</v>
      </c>
      <c r="D17" s="12">
        <v>12.0</v>
      </c>
      <c r="E17" s="12">
        <v>90.0</v>
      </c>
      <c r="F17" s="12">
        <v>12.0</v>
      </c>
      <c r="G17" s="12">
        <v>90.0</v>
      </c>
      <c r="H17" s="12">
        <v>10.0</v>
      </c>
      <c r="I17" s="11">
        <f t="shared" si="3"/>
        <v>900</v>
      </c>
      <c r="J17" s="13" t="str">
        <f t="shared" si="4"/>
        <v/>
      </c>
      <c r="K17" s="10"/>
    </row>
    <row r="18">
      <c r="B18" s="11" t="s">
        <v>69</v>
      </c>
      <c r="C18" s="12">
        <v>55.0</v>
      </c>
      <c r="D18" s="12">
        <v>15.0</v>
      </c>
      <c r="E18" s="12">
        <v>55.0</v>
      </c>
      <c r="F18" s="12">
        <v>15.0</v>
      </c>
      <c r="G18" s="12">
        <v>55.0</v>
      </c>
      <c r="H18" s="12">
        <v>15.0</v>
      </c>
      <c r="I18" s="11">
        <f t="shared" si="3"/>
        <v>825</v>
      </c>
      <c r="J18" s="13" t="str">
        <f t="shared" si="4"/>
        <v>✓</v>
      </c>
    </row>
    <row r="19" ht="15.0" customHeight="1">
      <c r="A19" s="8" t="s">
        <v>26</v>
      </c>
      <c r="B19" s="5"/>
      <c r="C19" s="5"/>
      <c r="D19" s="5"/>
      <c r="E19" s="5"/>
      <c r="F19" s="5"/>
      <c r="G19" s="5"/>
      <c r="H19" s="5"/>
      <c r="I19" s="5"/>
      <c r="J19" s="5"/>
      <c r="K19" s="7"/>
    </row>
    <row r="20">
      <c r="A20" s="9" t="s">
        <v>27</v>
      </c>
      <c r="B20" s="9" t="s">
        <v>31</v>
      </c>
      <c r="C20" s="9" t="s">
        <v>33</v>
      </c>
      <c r="D20" s="9" t="s">
        <v>34</v>
      </c>
      <c r="E20" s="9" t="s">
        <v>36</v>
      </c>
      <c r="F20" s="9" t="s">
        <v>38</v>
      </c>
      <c r="G20" s="9" t="s">
        <v>39</v>
      </c>
      <c r="H20" s="9" t="s">
        <v>41</v>
      </c>
      <c r="I20" s="9" t="s">
        <v>43</v>
      </c>
      <c r="J20" s="9" t="s">
        <v>45</v>
      </c>
      <c r="K20" s="9" t="s">
        <v>47</v>
      </c>
    </row>
    <row r="21" ht="15.75" customHeight="1">
      <c r="A21" s="14" t="s">
        <v>70</v>
      </c>
      <c r="B21" s="11" t="s">
        <v>51</v>
      </c>
      <c r="C21" s="12">
        <v>115.0</v>
      </c>
      <c r="D21" s="12">
        <v>12.0</v>
      </c>
      <c r="E21" s="12">
        <v>120.0</v>
      </c>
      <c r="F21" s="12">
        <v>12.0</v>
      </c>
      <c r="G21" s="12">
        <v>125.0</v>
      </c>
      <c r="H21" s="12">
        <v>12.0</v>
      </c>
      <c r="I21" s="11">
        <f t="shared" ref="I21:I25" si="5">IF(AND(G21&lt;&gt;"",H21&lt;&gt;""),G21*H21,"")</f>
        <v>1500</v>
      </c>
      <c r="J21" s="13" t="str">
        <f t="shared" ref="J21:J25" si="6">IF(H21="","",IF(H21&gt;=VALUE(LEFT(MID(B21,FIND("-",B21)+1,2),2)),"✓",""))</f>
        <v>✓</v>
      </c>
      <c r="K21" s="10"/>
    </row>
    <row r="22" ht="15.75" customHeight="1">
      <c r="A22" s="10" t="s">
        <v>71</v>
      </c>
      <c r="B22" s="11" t="s">
        <v>51</v>
      </c>
      <c r="C22" s="12">
        <v>135.0</v>
      </c>
      <c r="D22" s="12">
        <v>18.0</v>
      </c>
      <c r="E22" s="12">
        <v>135.0</v>
      </c>
      <c r="F22" s="12">
        <v>13.0</v>
      </c>
      <c r="G22" s="12">
        <v>135.0</v>
      </c>
      <c r="H22" s="12">
        <v>10.0</v>
      </c>
      <c r="I22" s="11">
        <f t="shared" si="5"/>
        <v>1350</v>
      </c>
      <c r="J22" s="13" t="str">
        <f t="shared" si="6"/>
        <v/>
      </c>
      <c r="K22" s="10"/>
    </row>
    <row r="23" ht="15.75" customHeight="1">
      <c r="A23" s="10" t="s">
        <v>72</v>
      </c>
      <c r="B23" s="11" t="s">
        <v>73</v>
      </c>
      <c r="C23" s="12">
        <v>60.0</v>
      </c>
      <c r="D23" s="12">
        <v>10.0</v>
      </c>
      <c r="E23" s="12">
        <v>60.0</v>
      </c>
      <c r="F23" s="12">
        <v>10.0</v>
      </c>
      <c r="G23" s="12">
        <v>60.0</v>
      </c>
      <c r="H23" s="12">
        <v>10.0</v>
      </c>
      <c r="I23" s="11">
        <f t="shared" si="5"/>
        <v>600</v>
      </c>
      <c r="J23" s="13" t="str">
        <f t="shared" si="6"/>
        <v/>
      </c>
      <c r="K23" s="10"/>
    </row>
    <row r="24" ht="15.75" customHeight="1">
      <c r="A24" s="10" t="s">
        <v>74</v>
      </c>
      <c r="B24" s="11" t="s">
        <v>75</v>
      </c>
      <c r="C24" s="12">
        <v>30.0</v>
      </c>
      <c r="D24" s="12">
        <v>15.0</v>
      </c>
      <c r="E24" s="12">
        <v>30.0</v>
      </c>
      <c r="F24" s="12">
        <v>15.0</v>
      </c>
      <c r="G24" s="12">
        <v>60.0</v>
      </c>
      <c r="H24" s="12">
        <v>15.0</v>
      </c>
      <c r="I24" s="11">
        <f t="shared" si="5"/>
        <v>900</v>
      </c>
      <c r="J24" s="13" t="str">
        <f t="shared" si="6"/>
        <v>✓</v>
      </c>
      <c r="K24" s="10"/>
    </row>
    <row r="25" ht="15.75" customHeight="1">
      <c r="A25" s="10" t="s">
        <v>76</v>
      </c>
      <c r="B25" s="11" t="s">
        <v>51</v>
      </c>
      <c r="C25" s="12">
        <v>100.0</v>
      </c>
      <c r="D25" s="12">
        <v>12.0</v>
      </c>
      <c r="E25" s="12">
        <v>100.0</v>
      </c>
      <c r="F25" s="12">
        <v>8.0</v>
      </c>
      <c r="G25" s="12">
        <v>100.0</v>
      </c>
      <c r="H25" s="12">
        <v>8.0</v>
      </c>
      <c r="I25" s="11">
        <f t="shared" si="5"/>
        <v>800</v>
      </c>
      <c r="J25" s="13" t="str">
        <f t="shared" si="6"/>
        <v/>
      </c>
      <c r="K25" s="10"/>
    </row>
    <row r="26" ht="15.75" customHeight="1"/>
    <row r="27" ht="15.75" customHeight="1"/>
    <row r="28" ht="15.75" customHeight="1">
      <c r="A28" s="15" t="s">
        <v>77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K1"/>
    <mergeCell ref="A3:K3"/>
    <mergeCell ref="A11:K11"/>
    <mergeCell ref="A19:K19"/>
    <mergeCell ref="A28:K28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4.0"/>
    <col customWidth="1" min="3" max="8" width="9.0"/>
    <col customWidth="1" min="9" max="9" width="12.0"/>
    <col customWidth="1" min="10" max="10" width="9.0"/>
    <col customWidth="1" min="11" max="11" width="30.0"/>
    <col customWidth="1" min="12" max="26" width="8.71"/>
  </cols>
  <sheetData>
    <row r="1" ht="24.0" customHeight="1">
      <c r="A1" s="3" t="s">
        <v>63</v>
      </c>
      <c r="B1" s="5"/>
      <c r="C1" s="5"/>
      <c r="D1" s="5"/>
      <c r="E1" s="5"/>
      <c r="F1" s="5"/>
      <c r="G1" s="5"/>
      <c r="H1" s="5"/>
      <c r="I1" s="5"/>
      <c r="J1" s="5"/>
      <c r="K1" s="7"/>
    </row>
    <row r="3" ht="15.0" customHeight="1">
      <c r="A3" s="8" t="s">
        <v>7</v>
      </c>
      <c r="B3" s="5"/>
      <c r="C3" s="5"/>
      <c r="D3" s="5"/>
      <c r="E3" s="5"/>
      <c r="F3" s="5"/>
      <c r="G3" s="5"/>
      <c r="H3" s="5"/>
      <c r="I3" s="5"/>
      <c r="J3" s="5"/>
      <c r="K3" s="7"/>
    </row>
    <row r="4">
      <c r="A4" s="9" t="s">
        <v>27</v>
      </c>
      <c r="B4" s="9" t="s">
        <v>31</v>
      </c>
      <c r="C4" s="9" t="s">
        <v>33</v>
      </c>
      <c r="D4" s="9" t="s">
        <v>34</v>
      </c>
      <c r="E4" s="9" t="s">
        <v>36</v>
      </c>
      <c r="F4" s="9" t="s">
        <v>38</v>
      </c>
      <c r="G4" s="9" t="s">
        <v>39</v>
      </c>
      <c r="H4" s="9" t="s">
        <v>41</v>
      </c>
      <c r="I4" s="9" t="s">
        <v>43</v>
      </c>
      <c r="J4" s="9" t="s">
        <v>45</v>
      </c>
      <c r="K4" s="9" t="s">
        <v>47</v>
      </c>
    </row>
    <row r="5">
      <c r="A5" s="10" t="s">
        <v>49</v>
      </c>
      <c r="B5" s="11" t="s">
        <v>51</v>
      </c>
      <c r="C5" s="12">
        <v>40.0</v>
      </c>
      <c r="D5" s="12">
        <v>10.0</v>
      </c>
      <c r="E5" s="12">
        <v>40.0</v>
      </c>
      <c r="F5" s="12">
        <v>8.0</v>
      </c>
      <c r="G5" s="12">
        <v>40.0</v>
      </c>
      <c r="H5" s="12">
        <v>9.0</v>
      </c>
      <c r="I5" s="11">
        <f t="shared" ref="I5:I10" si="1">IF(AND(G5&lt;&gt;"",H5&lt;&gt;""),G5*H5,"")</f>
        <v>360</v>
      </c>
      <c r="J5" s="13" t="str">
        <f t="shared" ref="J5:J10" si="2">IF(H5="","",IF(H5&gt;=VALUE(LEFT(MID(B5,FIND("-",B5)+1,2),2)),"✓",""))</f>
        <v/>
      </c>
      <c r="K5" s="10"/>
    </row>
    <row r="6">
      <c r="A6" s="10" t="s">
        <v>57</v>
      </c>
      <c r="B6" s="11" t="s">
        <v>51</v>
      </c>
      <c r="C6" s="12">
        <v>40.0</v>
      </c>
      <c r="D6" s="12">
        <v>12.0</v>
      </c>
      <c r="E6" s="12">
        <v>40.0</v>
      </c>
      <c r="F6" s="12">
        <v>12.0</v>
      </c>
      <c r="G6" s="12">
        <v>40.0</v>
      </c>
      <c r="H6" s="12">
        <v>12.0</v>
      </c>
      <c r="I6" s="11">
        <f t="shared" si="1"/>
        <v>480</v>
      </c>
      <c r="J6" s="13" t="str">
        <f t="shared" si="2"/>
        <v>✓</v>
      </c>
      <c r="K6" s="10"/>
    </row>
    <row r="7">
      <c r="A7" s="10" t="s">
        <v>58</v>
      </c>
      <c r="B7" s="11" t="s">
        <v>51</v>
      </c>
      <c r="C7" s="12">
        <v>20.0</v>
      </c>
      <c r="D7" s="12">
        <v>15.0</v>
      </c>
      <c r="E7" s="12">
        <v>20.0</v>
      </c>
      <c r="F7" s="12">
        <v>15.0</v>
      </c>
      <c r="G7" s="12">
        <v>20.0</v>
      </c>
      <c r="H7" s="12">
        <v>15.0</v>
      </c>
      <c r="I7" s="11">
        <f t="shared" si="1"/>
        <v>300</v>
      </c>
      <c r="J7" s="13" t="str">
        <f t="shared" si="2"/>
        <v>✓</v>
      </c>
      <c r="K7" s="10"/>
    </row>
    <row r="8">
      <c r="A8" s="10" t="s">
        <v>59</v>
      </c>
      <c r="B8" s="11" t="s">
        <v>60</v>
      </c>
      <c r="C8" s="12">
        <v>15.0</v>
      </c>
      <c r="D8" s="12">
        <v>15.0</v>
      </c>
      <c r="E8" s="12">
        <v>15.0</v>
      </c>
      <c r="F8" s="12">
        <v>15.0</v>
      </c>
      <c r="G8" s="12">
        <v>15.0</v>
      </c>
      <c r="H8" s="12">
        <v>15.0</v>
      </c>
      <c r="I8" s="11">
        <f t="shared" si="1"/>
        <v>225</v>
      </c>
      <c r="J8" s="13" t="str">
        <f t="shared" si="2"/>
        <v>✓</v>
      </c>
      <c r="K8" s="10"/>
    </row>
    <row r="9">
      <c r="A9" s="10" t="s">
        <v>61</v>
      </c>
      <c r="B9" s="11" t="s">
        <v>60</v>
      </c>
      <c r="C9" s="12">
        <v>25.0</v>
      </c>
      <c r="D9" s="12">
        <v>12.0</v>
      </c>
      <c r="E9" s="12">
        <v>25.0</v>
      </c>
      <c r="F9" s="12">
        <v>12.0</v>
      </c>
      <c r="G9" s="12">
        <v>25.0</v>
      </c>
      <c r="H9" s="12">
        <v>12.0</v>
      </c>
      <c r="I9" s="11">
        <f t="shared" si="1"/>
        <v>300</v>
      </c>
      <c r="J9" s="13" t="str">
        <f t="shared" si="2"/>
        <v/>
      </c>
      <c r="K9" s="10"/>
    </row>
    <row r="10">
      <c r="B10" s="11" t="s">
        <v>60</v>
      </c>
      <c r="C10" s="12">
        <v>40.0</v>
      </c>
      <c r="D10" s="12">
        <v>15.0</v>
      </c>
      <c r="E10" s="12">
        <v>40.0</v>
      </c>
      <c r="F10" s="12">
        <v>15.0</v>
      </c>
      <c r="G10" s="12">
        <v>40.0</v>
      </c>
      <c r="H10" s="12">
        <v>15.0</v>
      </c>
      <c r="I10" s="11">
        <f t="shared" si="1"/>
        <v>600</v>
      </c>
      <c r="J10" s="13" t="str">
        <f t="shared" si="2"/>
        <v>✓</v>
      </c>
    </row>
    <row r="11" ht="15.0" customHeight="1">
      <c r="A11" s="8" t="s">
        <v>17</v>
      </c>
      <c r="B11" s="5"/>
      <c r="C11" s="5"/>
      <c r="D11" s="5"/>
      <c r="E11" s="5"/>
      <c r="F11" s="5"/>
      <c r="G11" s="5"/>
      <c r="H11" s="5"/>
      <c r="I11" s="5"/>
      <c r="J11" s="5"/>
      <c r="K11" s="7"/>
    </row>
    <row r="12">
      <c r="A12" s="9" t="s">
        <v>27</v>
      </c>
      <c r="B12" s="9" t="s">
        <v>31</v>
      </c>
      <c r="C12" s="9" t="s">
        <v>33</v>
      </c>
      <c r="D12" s="9" t="s">
        <v>34</v>
      </c>
      <c r="E12" s="9" t="s">
        <v>36</v>
      </c>
      <c r="F12" s="9" t="s">
        <v>38</v>
      </c>
      <c r="G12" s="9" t="s">
        <v>39</v>
      </c>
      <c r="H12" s="9" t="s">
        <v>41</v>
      </c>
      <c r="I12" s="9" t="s">
        <v>43</v>
      </c>
      <c r="J12" s="9" t="s">
        <v>45</v>
      </c>
      <c r="K12" s="9" t="s">
        <v>47</v>
      </c>
    </row>
    <row r="13">
      <c r="A13" s="10" t="s">
        <v>62</v>
      </c>
      <c r="B13" s="11" t="s">
        <v>51</v>
      </c>
      <c r="C13" s="12">
        <v>115.0</v>
      </c>
      <c r="D13" s="12">
        <v>12.0</v>
      </c>
      <c r="E13" s="12">
        <v>120.0</v>
      </c>
      <c r="F13" s="12">
        <v>12.0</v>
      </c>
      <c r="G13" s="12">
        <v>120.0</v>
      </c>
      <c r="H13" s="12">
        <v>12.0</v>
      </c>
      <c r="I13" s="11">
        <f t="shared" ref="I13:I18" si="3">IF(AND(G13&lt;&gt;"",H13&lt;&gt;""),G13*H13,"")</f>
        <v>1440</v>
      </c>
      <c r="J13" s="13" t="str">
        <f t="shared" ref="J13:J18" si="4">IF(H13="","",IF(H13&gt;=VALUE(LEFT(MID(B13,FIND("-",B13)+1,2),2)),"✓",""))</f>
        <v>✓</v>
      </c>
      <c r="K13" s="10"/>
    </row>
    <row r="14">
      <c r="A14" s="10" t="s">
        <v>64</v>
      </c>
      <c r="B14" s="11" t="s">
        <v>51</v>
      </c>
      <c r="C14" s="12">
        <v>100.0</v>
      </c>
      <c r="D14" s="12">
        <v>12.0</v>
      </c>
      <c r="E14" s="12">
        <v>100.0</v>
      </c>
      <c r="F14" s="12">
        <v>10.0</v>
      </c>
      <c r="G14" s="12">
        <v>100.0</v>
      </c>
      <c r="H14" s="12"/>
      <c r="I14" s="11" t="str">
        <f t="shared" si="3"/>
        <v/>
      </c>
      <c r="J14" s="13" t="str">
        <f t="shared" si="4"/>
        <v/>
      </c>
      <c r="K14" s="10"/>
    </row>
    <row r="15">
      <c r="A15" s="14" t="s">
        <v>65</v>
      </c>
      <c r="B15" s="11" t="s">
        <v>66</v>
      </c>
      <c r="C15" s="12">
        <v>20.0</v>
      </c>
      <c r="D15" s="12">
        <v>12.0</v>
      </c>
      <c r="E15" s="12">
        <v>20.0</v>
      </c>
      <c r="F15" s="12">
        <v>12.0</v>
      </c>
      <c r="G15" s="12">
        <v>20.0</v>
      </c>
      <c r="H15" s="12">
        <v>12.0</v>
      </c>
      <c r="I15" s="11">
        <f t="shared" si="3"/>
        <v>240</v>
      </c>
      <c r="J15" s="13" t="str">
        <f t="shared" si="4"/>
        <v>✓</v>
      </c>
      <c r="K15" s="10"/>
    </row>
    <row r="16">
      <c r="A16" s="10" t="s">
        <v>67</v>
      </c>
      <c r="B16" s="11" t="s">
        <v>60</v>
      </c>
      <c r="C16" s="12">
        <v>135.0</v>
      </c>
      <c r="D16" s="12">
        <v>13.0</v>
      </c>
      <c r="E16" s="12">
        <v>135.0</v>
      </c>
      <c r="F16" s="12">
        <v>12.0</v>
      </c>
      <c r="G16" s="12">
        <v>135.0</v>
      </c>
      <c r="H16" s="12">
        <v>15.0</v>
      </c>
      <c r="I16" s="11">
        <f t="shared" si="3"/>
        <v>2025</v>
      </c>
      <c r="J16" s="13" t="str">
        <f t="shared" si="4"/>
        <v>✓</v>
      </c>
      <c r="K16" s="10"/>
    </row>
    <row r="17">
      <c r="A17" s="10" t="s">
        <v>68</v>
      </c>
      <c r="B17" s="11" t="s">
        <v>69</v>
      </c>
      <c r="C17" s="12">
        <v>100.0</v>
      </c>
      <c r="D17" s="12">
        <v>12.0</v>
      </c>
      <c r="E17" s="12">
        <v>100.0</v>
      </c>
      <c r="F17" s="12">
        <v>12.0</v>
      </c>
      <c r="G17" s="12">
        <v>110.0</v>
      </c>
      <c r="H17" s="12">
        <v>12.0</v>
      </c>
      <c r="I17" s="11">
        <f t="shared" si="3"/>
        <v>1320</v>
      </c>
      <c r="J17" s="13" t="str">
        <f t="shared" si="4"/>
        <v/>
      </c>
      <c r="K17" s="10"/>
    </row>
    <row r="18">
      <c r="B18" s="11" t="s">
        <v>69</v>
      </c>
      <c r="C18" s="12">
        <v>60.0</v>
      </c>
      <c r="D18" s="12">
        <v>15.0</v>
      </c>
      <c r="E18" s="12">
        <v>60.0</v>
      </c>
      <c r="F18" s="12"/>
      <c r="G18" s="12">
        <v>60.0</v>
      </c>
      <c r="H18" s="12"/>
      <c r="I18" s="11" t="str">
        <f t="shared" si="3"/>
        <v/>
      </c>
      <c r="J18" s="13" t="str">
        <f t="shared" si="4"/>
        <v/>
      </c>
    </row>
    <row r="19" ht="15.0" customHeight="1">
      <c r="A19" s="8" t="s">
        <v>26</v>
      </c>
      <c r="B19" s="5"/>
      <c r="C19" s="5"/>
      <c r="D19" s="5"/>
      <c r="E19" s="5"/>
      <c r="F19" s="5"/>
      <c r="G19" s="5"/>
      <c r="H19" s="5"/>
      <c r="I19" s="5"/>
      <c r="J19" s="5"/>
      <c r="K19" s="7"/>
    </row>
    <row r="20">
      <c r="A20" s="9" t="s">
        <v>27</v>
      </c>
      <c r="B20" s="9" t="s">
        <v>31</v>
      </c>
      <c r="C20" s="9" t="s">
        <v>33</v>
      </c>
      <c r="D20" s="9" t="s">
        <v>34</v>
      </c>
      <c r="E20" s="9" t="s">
        <v>36</v>
      </c>
      <c r="F20" s="9" t="s">
        <v>38</v>
      </c>
      <c r="G20" s="9" t="s">
        <v>39</v>
      </c>
      <c r="H20" s="9" t="s">
        <v>41</v>
      </c>
      <c r="I20" s="9" t="s">
        <v>43</v>
      </c>
      <c r="J20" s="9" t="s">
        <v>45</v>
      </c>
      <c r="K20" s="9" t="s">
        <v>47</v>
      </c>
    </row>
    <row r="21" ht="15.75" customHeight="1">
      <c r="A21" s="14" t="s">
        <v>70</v>
      </c>
      <c r="B21" s="11" t="s">
        <v>51</v>
      </c>
      <c r="C21" s="12">
        <v>125.0</v>
      </c>
      <c r="D21" s="12">
        <v>12.0</v>
      </c>
      <c r="E21" s="12">
        <v>125.0</v>
      </c>
      <c r="F21" s="12">
        <v>12.0</v>
      </c>
      <c r="G21" s="12">
        <v>130.0</v>
      </c>
      <c r="H21" s="12">
        <v>12.0</v>
      </c>
      <c r="I21" s="11">
        <f t="shared" ref="I21:I25" si="5">IF(AND(G21&lt;&gt;"",H21&lt;&gt;""),G21*H21,"")</f>
        <v>1560</v>
      </c>
      <c r="J21" s="13" t="str">
        <f t="shared" ref="J21:J25" si="6">IF(H21="","",IF(H21&gt;=VALUE(LEFT(MID(B21,FIND("-",B21)+1,2),2)),"✓",""))</f>
        <v>✓</v>
      </c>
      <c r="K21" s="10"/>
    </row>
    <row r="22" ht="15.75" customHeight="1">
      <c r="A22" s="14" t="s">
        <v>78</v>
      </c>
      <c r="B22" s="11" t="s">
        <v>51</v>
      </c>
      <c r="C22" s="12">
        <v>135.0</v>
      </c>
      <c r="D22" s="12">
        <v>12.0</v>
      </c>
      <c r="E22" s="12">
        <v>135.0</v>
      </c>
      <c r="F22" s="12">
        <v>12.0</v>
      </c>
      <c r="G22" s="12">
        <v>135.0</v>
      </c>
      <c r="H22" s="12">
        <v>12.0</v>
      </c>
      <c r="I22" s="11">
        <f t="shared" si="5"/>
        <v>1620</v>
      </c>
      <c r="J22" s="13" t="str">
        <f t="shared" si="6"/>
        <v>✓</v>
      </c>
      <c r="K22" s="10"/>
    </row>
    <row r="23" ht="15.75" customHeight="1">
      <c r="A23" s="10" t="s">
        <v>72</v>
      </c>
      <c r="B23" s="11" t="s">
        <v>73</v>
      </c>
      <c r="C23" s="12">
        <v>60.0</v>
      </c>
      <c r="D23" s="12">
        <v>12.0</v>
      </c>
      <c r="E23" s="12">
        <v>60.0</v>
      </c>
      <c r="F23" s="12">
        <v>12.0</v>
      </c>
      <c r="G23" s="12">
        <v>60.0</v>
      </c>
      <c r="H23" s="12">
        <v>12.0</v>
      </c>
      <c r="I23" s="11">
        <f t="shared" si="5"/>
        <v>720</v>
      </c>
      <c r="J23" s="13" t="str">
        <f t="shared" si="6"/>
        <v>✓</v>
      </c>
      <c r="K23" s="10"/>
    </row>
    <row r="24" ht="15.75" customHeight="1">
      <c r="A24" s="10" t="s">
        <v>74</v>
      </c>
      <c r="B24" s="11" t="s">
        <v>75</v>
      </c>
      <c r="C24" s="12">
        <v>60.0</v>
      </c>
      <c r="D24" s="12">
        <v>12.0</v>
      </c>
      <c r="E24" s="12">
        <v>50.0</v>
      </c>
      <c r="F24" s="12">
        <v>12.0</v>
      </c>
      <c r="G24" s="12">
        <v>50.0</v>
      </c>
      <c r="H24" s="12">
        <v>12.0</v>
      </c>
      <c r="I24" s="11">
        <f t="shared" si="5"/>
        <v>600</v>
      </c>
      <c r="J24" s="13" t="str">
        <f t="shared" si="6"/>
        <v/>
      </c>
      <c r="K24" s="10"/>
    </row>
    <row r="25" ht="15.75" customHeight="1">
      <c r="A25" s="10" t="s">
        <v>76</v>
      </c>
      <c r="B25" s="11" t="s">
        <v>51</v>
      </c>
      <c r="C25" s="12">
        <v>100.0</v>
      </c>
      <c r="D25" s="12">
        <v>12.0</v>
      </c>
      <c r="E25" s="12">
        <v>100.0</v>
      </c>
      <c r="F25" s="12">
        <v>12.0</v>
      </c>
      <c r="G25" s="12">
        <v>100.0</v>
      </c>
      <c r="H25" s="12">
        <v>12.0</v>
      </c>
      <c r="I25" s="11">
        <f t="shared" si="5"/>
        <v>1200</v>
      </c>
      <c r="J25" s="13" t="str">
        <f t="shared" si="6"/>
        <v>✓</v>
      </c>
      <c r="K25" s="10"/>
    </row>
    <row r="26" ht="15.75" customHeight="1"/>
    <row r="27" ht="15.75" customHeight="1"/>
    <row r="28" ht="15.75" customHeight="1">
      <c r="A28" s="15" t="s">
        <v>77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K1"/>
    <mergeCell ref="A3:K3"/>
    <mergeCell ref="A11:K11"/>
    <mergeCell ref="A19:K19"/>
    <mergeCell ref="A28:K28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4.0"/>
    <col customWidth="1" min="3" max="8" width="9.0"/>
    <col customWidth="1" min="9" max="9" width="12.0"/>
    <col customWidth="1" min="10" max="10" width="9.0"/>
    <col customWidth="1" min="11" max="11" width="30.0"/>
    <col customWidth="1" min="12" max="26" width="8.71"/>
  </cols>
  <sheetData>
    <row r="1" ht="24.0" customHeight="1">
      <c r="A1" s="3" t="s">
        <v>79</v>
      </c>
      <c r="B1" s="5"/>
      <c r="C1" s="5"/>
      <c r="D1" s="5"/>
      <c r="E1" s="5"/>
      <c r="F1" s="5"/>
      <c r="G1" s="5"/>
      <c r="H1" s="5"/>
      <c r="I1" s="5"/>
      <c r="J1" s="5"/>
      <c r="K1" s="7"/>
    </row>
    <row r="3" ht="15.0" customHeight="1">
      <c r="A3" s="8" t="s">
        <v>7</v>
      </c>
      <c r="B3" s="5"/>
      <c r="C3" s="5"/>
      <c r="D3" s="5"/>
      <c r="E3" s="5"/>
      <c r="F3" s="5"/>
      <c r="G3" s="5"/>
      <c r="H3" s="5"/>
      <c r="I3" s="5"/>
      <c r="J3" s="5"/>
      <c r="K3" s="7"/>
    </row>
    <row r="4">
      <c r="A4" s="16" t="s">
        <v>27</v>
      </c>
      <c r="B4" s="16" t="s">
        <v>31</v>
      </c>
      <c r="C4" s="16" t="s">
        <v>33</v>
      </c>
      <c r="D4" s="16" t="s">
        <v>34</v>
      </c>
      <c r="E4" s="16" t="s">
        <v>36</v>
      </c>
      <c r="F4" s="16" t="s">
        <v>38</v>
      </c>
      <c r="G4" s="16" t="s">
        <v>39</v>
      </c>
      <c r="H4" s="16" t="s">
        <v>41</v>
      </c>
      <c r="I4" s="16" t="s">
        <v>43</v>
      </c>
      <c r="J4" s="16" t="s">
        <v>45</v>
      </c>
      <c r="K4" s="16" t="s">
        <v>47</v>
      </c>
    </row>
    <row r="5">
      <c r="A5" s="10" t="s">
        <v>49</v>
      </c>
      <c r="B5" s="11" t="s">
        <v>51</v>
      </c>
      <c r="C5" s="12">
        <v>40.0</v>
      </c>
      <c r="D5" s="12">
        <v>13.0</v>
      </c>
      <c r="E5" s="12">
        <v>45.0</v>
      </c>
      <c r="F5" s="12">
        <v>11.0</v>
      </c>
      <c r="G5" s="12">
        <v>45.0</v>
      </c>
      <c r="H5" s="12">
        <v>8.0</v>
      </c>
      <c r="I5" s="11">
        <f t="shared" ref="I5:I10" si="1">IF(AND(G5&lt;&gt;"",H5&lt;&gt;""),G5*H5,"")</f>
        <v>360</v>
      </c>
      <c r="J5" s="13" t="str">
        <f t="shared" ref="J5:J10" si="2">IF(H5="","",IF(H5&gt;=VALUE(LEFT(MID(B5,FIND("-",B5)+1,2),2)),"✓",""))</f>
        <v/>
      </c>
      <c r="K5" s="10"/>
    </row>
    <row r="6">
      <c r="A6" s="10" t="s">
        <v>57</v>
      </c>
      <c r="B6" s="11" t="s">
        <v>51</v>
      </c>
      <c r="C6" s="12">
        <v>40.0</v>
      </c>
      <c r="D6" s="12">
        <v>12.0</v>
      </c>
      <c r="E6" s="12">
        <v>45.0</v>
      </c>
      <c r="F6" s="12">
        <v>12.0</v>
      </c>
      <c r="G6" s="12">
        <v>45.0</v>
      </c>
      <c r="H6" s="12">
        <v>11.0</v>
      </c>
      <c r="I6" s="11">
        <f t="shared" si="1"/>
        <v>495</v>
      </c>
      <c r="J6" s="13" t="str">
        <f t="shared" si="2"/>
        <v/>
      </c>
      <c r="K6" s="10"/>
    </row>
    <row r="7">
      <c r="A7" s="10" t="s">
        <v>58</v>
      </c>
      <c r="B7" s="11" t="s">
        <v>51</v>
      </c>
      <c r="C7" s="12">
        <v>20.0</v>
      </c>
      <c r="D7" s="12">
        <v>15.0</v>
      </c>
      <c r="E7" s="12">
        <v>25.0</v>
      </c>
      <c r="F7" s="12">
        <v>12.0</v>
      </c>
      <c r="G7" s="12">
        <v>25.0</v>
      </c>
      <c r="H7" s="12">
        <v>12.0</v>
      </c>
      <c r="I7" s="11">
        <f t="shared" si="1"/>
        <v>300</v>
      </c>
      <c r="J7" s="13" t="str">
        <f t="shared" si="2"/>
        <v>✓</v>
      </c>
      <c r="K7" s="10"/>
    </row>
    <row r="8">
      <c r="A8" s="10" t="s">
        <v>59</v>
      </c>
      <c r="B8" s="11" t="s">
        <v>60</v>
      </c>
      <c r="C8" s="12">
        <v>15.0</v>
      </c>
      <c r="D8" s="12">
        <v>15.0</v>
      </c>
      <c r="E8" s="12">
        <v>15.0</v>
      </c>
      <c r="F8" s="12">
        <v>15.0</v>
      </c>
      <c r="G8" s="12">
        <v>15.0</v>
      </c>
      <c r="H8" s="12">
        <v>15.0</v>
      </c>
      <c r="I8" s="11">
        <f t="shared" si="1"/>
        <v>225</v>
      </c>
      <c r="J8" s="13" t="str">
        <f t="shared" si="2"/>
        <v>✓</v>
      </c>
      <c r="K8" s="10"/>
    </row>
    <row r="9">
      <c r="A9" s="10" t="s">
        <v>61</v>
      </c>
      <c r="B9" s="11" t="s">
        <v>60</v>
      </c>
      <c r="C9" s="12">
        <v>25.0</v>
      </c>
      <c r="D9" s="12">
        <v>15.0</v>
      </c>
      <c r="E9" s="12">
        <v>25.0</v>
      </c>
      <c r="F9" s="12">
        <v>15.0</v>
      </c>
      <c r="G9" s="12">
        <v>25.0</v>
      </c>
      <c r="H9" s="12"/>
      <c r="I9" s="11" t="str">
        <f t="shared" si="1"/>
        <v/>
      </c>
      <c r="J9" s="13" t="str">
        <f t="shared" si="2"/>
        <v/>
      </c>
      <c r="K9" s="10"/>
    </row>
    <row r="10">
      <c r="B10" s="11" t="s">
        <v>60</v>
      </c>
      <c r="C10" s="12">
        <v>45.0</v>
      </c>
      <c r="D10" s="12">
        <v>14.0</v>
      </c>
      <c r="E10" s="12">
        <v>45.0</v>
      </c>
      <c r="F10" s="12">
        <v>12.0</v>
      </c>
      <c r="G10" s="12">
        <v>45.0</v>
      </c>
      <c r="H10" s="12"/>
      <c r="I10" s="11" t="str">
        <f t="shared" si="1"/>
        <v/>
      </c>
      <c r="J10" s="13" t="str">
        <f t="shared" si="2"/>
        <v/>
      </c>
    </row>
    <row r="11" ht="15.0" customHeight="1">
      <c r="A11" s="8" t="s">
        <v>17</v>
      </c>
      <c r="B11" s="5"/>
      <c r="C11" s="5"/>
      <c r="D11" s="5"/>
      <c r="E11" s="5"/>
      <c r="F11" s="5"/>
      <c r="G11" s="5"/>
      <c r="H11" s="5"/>
      <c r="I11" s="5"/>
      <c r="J11" s="5"/>
      <c r="K11" s="7"/>
    </row>
    <row r="12">
      <c r="A12" s="16" t="s">
        <v>27</v>
      </c>
      <c r="B12" s="16" t="s">
        <v>31</v>
      </c>
      <c r="C12" s="16" t="s">
        <v>33</v>
      </c>
      <c r="D12" s="16" t="s">
        <v>34</v>
      </c>
      <c r="E12" s="16" t="s">
        <v>36</v>
      </c>
      <c r="F12" s="16" t="s">
        <v>38</v>
      </c>
      <c r="G12" s="16" t="s">
        <v>39</v>
      </c>
      <c r="H12" s="16" t="s">
        <v>41</v>
      </c>
      <c r="I12" s="16" t="s">
        <v>43</v>
      </c>
      <c r="J12" s="16" t="s">
        <v>45</v>
      </c>
      <c r="K12" s="16" t="s">
        <v>47</v>
      </c>
    </row>
    <row r="13">
      <c r="A13" s="10" t="s">
        <v>62</v>
      </c>
      <c r="B13" s="11" t="s">
        <v>51</v>
      </c>
      <c r="C13" s="12">
        <v>125.0</v>
      </c>
      <c r="D13" s="12">
        <v>10.0</v>
      </c>
      <c r="E13" s="12">
        <v>125.0</v>
      </c>
      <c r="F13" s="12">
        <v>11.0</v>
      </c>
      <c r="G13" s="12">
        <v>125.0</v>
      </c>
      <c r="H13" s="12">
        <v>12.0</v>
      </c>
      <c r="I13" s="11">
        <f t="shared" ref="I13:I18" si="3">IF(AND(G13&lt;&gt;"",H13&lt;&gt;""),G13*H13,"")</f>
        <v>1500</v>
      </c>
      <c r="J13" s="13" t="str">
        <f t="shared" ref="J13:J18" si="4">IF(H13="","",IF(H13&gt;=VALUE(LEFT(MID(B13,FIND("-",B13)+1,2),2)),"✓",""))</f>
        <v>✓</v>
      </c>
      <c r="K13" s="10"/>
    </row>
    <row r="14">
      <c r="A14" s="10" t="s">
        <v>64</v>
      </c>
      <c r="B14" s="11" t="s">
        <v>51</v>
      </c>
      <c r="C14" s="12">
        <v>100.0</v>
      </c>
      <c r="D14" s="12">
        <v>12.0</v>
      </c>
      <c r="E14" s="12">
        <v>110.0</v>
      </c>
      <c r="F14" s="12">
        <v>8.0</v>
      </c>
      <c r="G14" s="12">
        <v>110.0</v>
      </c>
      <c r="H14" s="12">
        <v>5.0</v>
      </c>
      <c r="I14" s="11">
        <f t="shared" si="3"/>
        <v>550</v>
      </c>
      <c r="J14" s="13" t="str">
        <f t="shared" si="4"/>
        <v/>
      </c>
      <c r="K14" s="10"/>
    </row>
    <row r="15">
      <c r="A15" s="14" t="s">
        <v>65</v>
      </c>
      <c r="B15" s="11" t="s">
        <v>66</v>
      </c>
      <c r="C15" s="12">
        <v>20.0</v>
      </c>
      <c r="D15" s="12">
        <v>12.0</v>
      </c>
      <c r="E15" s="12">
        <v>25.0</v>
      </c>
      <c r="F15" s="12">
        <v>12.0</v>
      </c>
      <c r="G15" s="12">
        <v>25.0</v>
      </c>
      <c r="H15" s="12">
        <v>12.0</v>
      </c>
      <c r="I15" s="11">
        <f t="shared" si="3"/>
        <v>300</v>
      </c>
      <c r="J15" s="13" t="str">
        <f t="shared" si="4"/>
        <v>✓</v>
      </c>
      <c r="K15" s="10"/>
    </row>
    <row r="16">
      <c r="A16" s="10" t="s">
        <v>67</v>
      </c>
      <c r="B16" s="11" t="s">
        <v>60</v>
      </c>
      <c r="C16" s="12">
        <v>135.0</v>
      </c>
      <c r="D16" s="12">
        <v>14.0</v>
      </c>
      <c r="E16" s="12">
        <v>135.0</v>
      </c>
      <c r="F16" s="12">
        <v>13.0</v>
      </c>
      <c r="G16" s="12">
        <v>135.0</v>
      </c>
      <c r="H16" s="12">
        <v>13.0</v>
      </c>
      <c r="I16" s="11">
        <f t="shared" si="3"/>
        <v>1755</v>
      </c>
      <c r="J16" s="13" t="str">
        <f t="shared" si="4"/>
        <v/>
      </c>
      <c r="K16" s="10"/>
    </row>
    <row r="17">
      <c r="A17" s="10" t="s">
        <v>68</v>
      </c>
      <c r="B17" s="11" t="s">
        <v>69</v>
      </c>
      <c r="C17" s="12">
        <v>110.0</v>
      </c>
      <c r="D17" s="12">
        <v>12.0</v>
      </c>
      <c r="E17" s="12">
        <v>110.0</v>
      </c>
      <c r="F17" s="12">
        <v>12.0</v>
      </c>
      <c r="G17" s="12">
        <v>110.0</v>
      </c>
      <c r="H17" s="12">
        <v>13.0</v>
      </c>
      <c r="I17" s="11">
        <f t="shared" si="3"/>
        <v>1430</v>
      </c>
      <c r="J17" s="13" t="str">
        <f t="shared" si="4"/>
        <v/>
      </c>
      <c r="K17" s="10"/>
    </row>
    <row r="18">
      <c r="B18" s="11" t="s">
        <v>69</v>
      </c>
      <c r="C18" s="12">
        <v>70.0</v>
      </c>
      <c r="D18" s="12">
        <v>15.0</v>
      </c>
      <c r="E18" s="12">
        <v>70.0</v>
      </c>
      <c r="F18" s="12">
        <v>15.0</v>
      </c>
      <c r="G18" s="12">
        <v>70.0</v>
      </c>
      <c r="H18" s="12">
        <v>15.0</v>
      </c>
      <c r="I18" s="11">
        <f t="shared" si="3"/>
        <v>1050</v>
      </c>
      <c r="J18" s="13" t="str">
        <f t="shared" si="4"/>
        <v>✓</v>
      </c>
    </row>
    <row r="19" ht="15.0" customHeight="1">
      <c r="A19" s="8" t="s">
        <v>26</v>
      </c>
      <c r="B19" s="5"/>
      <c r="C19" s="5"/>
      <c r="D19" s="5"/>
      <c r="E19" s="5"/>
      <c r="F19" s="5"/>
      <c r="G19" s="5"/>
      <c r="H19" s="5"/>
      <c r="I19" s="5"/>
      <c r="J19" s="5"/>
      <c r="K19" s="7"/>
    </row>
    <row r="20">
      <c r="A20" s="16" t="s">
        <v>27</v>
      </c>
      <c r="B20" s="16" t="s">
        <v>31</v>
      </c>
      <c r="C20" s="16" t="s">
        <v>33</v>
      </c>
      <c r="D20" s="16" t="s">
        <v>34</v>
      </c>
      <c r="E20" s="16" t="s">
        <v>36</v>
      </c>
      <c r="F20" s="16" t="s">
        <v>38</v>
      </c>
      <c r="G20" s="16" t="s">
        <v>39</v>
      </c>
      <c r="H20" s="16" t="s">
        <v>41</v>
      </c>
      <c r="I20" s="16" t="s">
        <v>43</v>
      </c>
      <c r="J20" s="16" t="s">
        <v>45</v>
      </c>
      <c r="K20" s="16" t="s">
        <v>47</v>
      </c>
    </row>
    <row r="21" ht="15.75" customHeight="1">
      <c r="A21" s="14" t="s">
        <v>84</v>
      </c>
      <c r="B21" s="11" t="s">
        <v>51</v>
      </c>
      <c r="C21" s="12">
        <v>15.0</v>
      </c>
      <c r="D21" s="12">
        <v>13.0</v>
      </c>
      <c r="E21" s="12">
        <v>15.0</v>
      </c>
      <c r="F21" s="12">
        <v>12.0</v>
      </c>
      <c r="G21" s="12">
        <v>15.0</v>
      </c>
      <c r="H21" s="12">
        <v>13.0</v>
      </c>
      <c r="I21" s="11">
        <f t="shared" ref="I21:I25" si="5">IF(AND(G21&lt;&gt;"",H21&lt;&gt;""),G21*H21,"")</f>
        <v>195</v>
      </c>
      <c r="J21" s="13" t="str">
        <f t="shared" ref="J21:J25" si="6">IF(H21="","",IF(H21&gt;=VALUE(LEFT(MID(B21,FIND("-",B21)+1,2),2)),"✓",""))</f>
        <v>✓</v>
      </c>
      <c r="K21" s="10"/>
    </row>
    <row r="22" ht="15.75" customHeight="1">
      <c r="A22" s="14" t="s">
        <v>78</v>
      </c>
      <c r="B22" s="11" t="s">
        <v>51</v>
      </c>
      <c r="C22" s="12">
        <v>135.0</v>
      </c>
      <c r="D22" s="12">
        <v>20.0</v>
      </c>
      <c r="E22" s="12">
        <v>135.0</v>
      </c>
      <c r="F22" s="12">
        <v>15.0</v>
      </c>
      <c r="G22" s="12">
        <v>135.0</v>
      </c>
      <c r="H22" s="12">
        <v>12.0</v>
      </c>
      <c r="I22" s="11">
        <f t="shared" si="5"/>
        <v>1620</v>
      </c>
      <c r="J22" s="13" t="str">
        <f t="shared" si="6"/>
        <v>✓</v>
      </c>
      <c r="K22" s="10"/>
    </row>
    <row r="23" ht="15.75" customHeight="1">
      <c r="A23" s="10" t="s">
        <v>72</v>
      </c>
      <c r="B23" s="11" t="s">
        <v>73</v>
      </c>
      <c r="C23" s="12">
        <v>60.0</v>
      </c>
      <c r="D23" s="12">
        <v>12.0</v>
      </c>
      <c r="E23" s="12">
        <v>70.0</v>
      </c>
      <c r="F23" s="12">
        <v>8.0</v>
      </c>
      <c r="G23" s="12">
        <v>70.0</v>
      </c>
      <c r="H23" s="12">
        <v>8.0</v>
      </c>
      <c r="I23" s="11">
        <f t="shared" si="5"/>
        <v>560</v>
      </c>
      <c r="J23" s="13" t="str">
        <f t="shared" si="6"/>
        <v/>
      </c>
      <c r="K23" s="10"/>
    </row>
    <row r="24" ht="15.75" customHeight="1">
      <c r="A24" s="10" t="s">
        <v>74</v>
      </c>
      <c r="B24" s="11" t="s">
        <v>75</v>
      </c>
      <c r="C24" s="12">
        <v>50.0</v>
      </c>
      <c r="D24" s="12">
        <v>15.0</v>
      </c>
      <c r="E24" s="12">
        <v>50.0</v>
      </c>
      <c r="F24" s="12">
        <v>15.0</v>
      </c>
      <c r="G24" s="12">
        <v>50.0</v>
      </c>
      <c r="H24" s="12">
        <v>9.0</v>
      </c>
      <c r="I24" s="11">
        <f t="shared" si="5"/>
        <v>450</v>
      </c>
      <c r="J24" s="13" t="str">
        <f t="shared" si="6"/>
        <v/>
      </c>
      <c r="K24" s="10"/>
    </row>
    <row r="25" ht="15.75" customHeight="1">
      <c r="A25" s="10" t="s">
        <v>76</v>
      </c>
      <c r="B25" s="11" t="s">
        <v>51</v>
      </c>
      <c r="C25" s="12">
        <v>100.0</v>
      </c>
      <c r="D25" s="12">
        <v>12.0</v>
      </c>
      <c r="E25" s="12">
        <v>100.0</v>
      </c>
      <c r="F25" s="12">
        <v>8.0</v>
      </c>
      <c r="G25" s="12">
        <v>100.0</v>
      </c>
      <c r="H25" s="12">
        <v>8.0</v>
      </c>
      <c r="I25" s="11">
        <f t="shared" si="5"/>
        <v>800</v>
      </c>
      <c r="J25" s="13" t="str">
        <f t="shared" si="6"/>
        <v/>
      </c>
      <c r="K25" s="10"/>
    </row>
    <row r="26" ht="15.75" customHeight="1"/>
    <row r="27" ht="15.75" customHeight="1"/>
    <row r="28" ht="15.75" customHeight="1">
      <c r="A28" s="15" t="s">
        <v>77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K1"/>
    <mergeCell ref="A3:K3"/>
    <mergeCell ref="A11:K11"/>
    <mergeCell ref="A19:K19"/>
    <mergeCell ref="A28:K28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4.0"/>
    <col customWidth="1" min="3" max="8" width="9.0"/>
    <col customWidth="1" min="9" max="9" width="12.0"/>
    <col customWidth="1" min="10" max="10" width="9.0"/>
    <col customWidth="1" min="11" max="11" width="30.0"/>
    <col customWidth="1" min="12" max="26" width="8.71"/>
  </cols>
  <sheetData>
    <row r="1" ht="24.0" customHeight="1">
      <c r="A1" s="3" t="s">
        <v>80</v>
      </c>
      <c r="B1" s="5"/>
      <c r="C1" s="5"/>
      <c r="D1" s="5"/>
      <c r="E1" s="5"/>
      <c r="F1" s="5"/>
      <c r="G1" s="5"/>
      <c r="H1" s="5"/>
      <c r="I1" s="5"/>
      <c r="J1" s="5"/>
      <c r="K1" s="7"/>
    </row>
    <row r="3" ht="15.0" customHeight="1">
      <c r="A3" s="8" t="s">
        <v>7</v>
      </c>
      <c r="B3" s="5"/>
      <c r="C3" s="5"/>
      <c r="D3" s="5"/>
      <c r="E3" s="5"/>
      <c r="F3" s="5"/>
      <c r="G3" s="5"/>
      <c r="H3" s="5"/>
      <c r="I3" s="5"/>
      <c r="J3" s="5"/>
      <c r="K3" s="7"/>
    </row>
    <row r="4">
      <c r="A4" s="16" t="s">
        <v>27</v>
      </c>
      <c r="B4" s="16" t="s">
        <v>31</v>
      </c>
      <c r="C4" s="16" t="s">
        <v>33</v>
      </c>
      <c r="D4" s="16" t="s">
        <v>34</v>
      </c>
      <c r="E4" s="16" t="s">
        <v>36</v>
      </c>
      <c r="F4" s="16" t="s">
        <v>38</v>
      </c>
      <c r="G4" s="16" t="s">
        <v>39</v>
      </c>
      <c r="H4" s="16" t="s">
        <v>41</v>
      </c>
      <c r="I4" s="16" t="s">
        <v>43</v>
      </c>
      <c r="J4" s="16" t="s">
        <v>45</v>
      </c>
      <c r="K4" s="16" t="s">
        <v>47</v>
      </c>
    </row>
    <row r="5">
      <c r="A5" s="10" t="s">
        <v>49</v>
      </c>
      <c r="B5" s="11" t="s">
        <v>51</v>
      </c>
      <c r="C5" s="12">
        <v>45.0</v>
      </c>
      <c r="D5" s="12">
        <v>8.0</v>
      </c>
      <c r="E5" s="12">
        <v>45.0</v>
      </c>
      <c r="F5" s="12">
        <v>8.0</v>
      </c>
      <c r="G5" s="12">
        <v>45.0</v>
      </c>
      <c r="H5" s="12">
        <v>8.0</v>
      </c>
      <c r="I5" s="11">
        <f t="shared" ref="I5:I10" si="1">IF(AND(G5&lt;&gt;"",H5&lt;&gt;""),G5*H5,"")</f>
        <v>360</v>
      </c>
      <c r="J5" s="13" t="str">
        <f t="shared" ref="J5:J10" si="2">IF(H5="","",IF(H5&gt;=VALUE(LEFT(MID(B5,FIND("-",B5)+1,2),2)),"✓",""))</f>
        <v/>
      </c>
      <c r="K5" s="10"/>
    </row>
    <row r="6">
      <c r="A6" s="10" t="s">
        <v>57</v>
      </c>
      <c r="B6" s="11" t="s">
        <v>51</v>
      </c>
      <c r="C6" s="12">
        <v>45.0</v>
      </c>
      <c r="D6" s="12">
        <v>12.0</v>
      </c>
      <c r="E6" s="12">
        <v>50.0</v>
      </c>
      <c r="F6" s="12">
        <v>8.0</v>
      </c>
      <c r="G6" s="12">
        <v>50.0</v>
      </c>
      <c r="H6" s="12">
        <v>8.0</v>
      </c>
      <c r="I6" s="11">
        <f t="shared" si="1"/>
        <v>400</v>
      </c>
      <c r="J6" s="13" t="str">
        <f t="shared" si="2"/>
        <v/>
      </c>
      <c r="K6" s="10"/>
    </row>
    <row r="7">
      <c r="A7" s="10" t="s">
        <v>58</v>
      </c>
      <c r="B7" s="11" t="s">
        <v>51</v>
      </c>
      <c r="C7" s="12">
        <v>25.0</v>
      </c>
      <c r="D7" s="12">
        <v>12.0</v>
      </c>
      <c r="E7" s="12">
        <v>25.0</v>
      </c>
      <c r="F7" s="12">
        <v>12.0</v>
      </c>
      <c r="G7" s="12">
        <v>25.0</v>
      </c>
      <c r="H7" s="12">
        <v>12.0</v>
      </c>
      <c r="I7" s="11">
        <f t="shared" si="1"/>
        <v>300</v>
      </c>
      <c r="J7" s="13" t="str">
        <f t="shared" si="2"/>
        <v>✓</v>
      </c>
      <c r="K7" s="10"/>
    </row>
    <row r="8">
      <c r="A8" s="10" t="s">
        <v>59</v>
      </c>
      <c r="B8" s="11" t="s">
        <v>60</v>
      </c>
      <c r="C8" s="12">
        <v>15.0</v>
      </c>
      <c r="D8" s="12">
        <v>15.0</v>
      </c>
      <c r="E8" s="12">
        <v>15.0</v>
      </c>
      <c r="F8" s="12">
        <v>15.0</v>
      </c>
      <c r="G8" s="12">
        <v>15.0</v>
      </c>
      <c r="H8" s="12">
        <v>15.0</v>
      </c>
      <c r="I8" s="11">
        <f t="shared" si="1"/>
        <v>225</v>
      </c>
      <c r="J8" s="13" t="str">
        <f t="shared" si="2"/>
        <v>✓</v>
      </c>
      <c r="K8" s="10"/>
    </row>
    <row r="9">
      <c r="A9" s="10" t="s">
        <v>61</v>
      </c>
      <c r="B9" s="11" t="s">
        <v>60</v>
      </c>
      <c r="C9" s="12">
        <v>25.0</v>
      </c>
      <c r="D9" s="12">
        <v>15.0</v>
      </c>
      <c r="E9" s="12">
        <v>25.0</v>
      </c>
      <c r="F9" s="12">
        <v>12.0</v>
      </c>
      <c r="G9" s="12">
        <v>20.0</v>
      </c>
      <c r="H9" s="12">
        <v>13.0</v>
      </c>
      <c r="I9" s="11">
        <f t="shared" si="1"/>
        <v>260</v>
      </c>
      <c r="J9" s="13" t="str">
        <f t="shared" si="2"/>
        <v/>
      </c>
      <c r="K9" s="10"/>
    </row>
    <row r="10">
      <c r="B10" s="11" t="s">
        <v>60</v>
      </c>
      <c r="C10" s="12">
        <v>45.0</v>
      </c>
      <c r="D10" s="12">
        <v>15.0</v>
      </c>
      <c r="E10" s="12">
        <v>45.0</v>
      </c>
      <c r="F10" s="12">
        <v>12.0</v>
      </c>
      <c r="G10" s="12">
        <v>40.0</v>
      </c>
      <c r="H10" s="12">
        <v>12.0</v>
      </c>
      <c r="I10" s="11">
        <f t="shared" si="1"/>
        <v>480</v>
      </c>
      <c r="J10" s="13" t="str">
        <f t="shared" si="2"/>
        <v/>
      </c>
    </row>
    <row r="11" ht="15.0" customHeight="1">
      <c r="A11" s="8" t="s">
        <v>17</v>
      </c>
      <c r="B11" s="5"/>
      <c r="C11" s="5"/>
      <c r="D11" s="5"/>
      <c r="E11" s="5"/>
      <c r="F11" s="5"/>
      <c r="G11" s="5"/>
      <c r="H11" s="5"/>
      <c r="I11" s="5"/>
      <c r="J11" s="5"/>
      <c r="K11" s="7"/>
    </row>
    <row r="12">
      <c r="A12" s="16" t="s">
        <v>27</v>
      </c>
      <c r="B12" s="16" t="s">
        <v>31</v>
      </c>
      <c r="C12" s="16" t="s">
        <v>33</v>
      </c>
      <c r="D12" s="16" t="s">
        <v>34</v>
      </c>
      <c r="E12" s="16" t="s">
        <v>36</v>
      </c>
      <c r="F12" s="16" t="s">
        <v>38</v>
      </c>
      <c r="G12" s="16" t="s">
        <v>39</v>
      </c>
      <c r="H12" s="16" t="s">
        <v>41</v>
      </c>
      <c r="I12" s="16" t="s">
        <v>43</v>
      </c>
      <c r="J12" s="16" t="s">
        <v>45</v>
      </c>
      <c r="K12" s="16" t="s">
        <v>47</v>
      </c>
    </row>
    <row r="13">
      <c r="A13" s="14" t="s">
        <v>82</v>
      </c>
      <c r="B13" s="11" t="s">
        <v>51</v>
      </c>
      <c r="C13" s="12">
        <v>125.0</v>
      </c>
      <c r="D13" s="17"/>
      <c r="E13" s="17"/>
      <c r="F13" s="17"/>
      <c r="G13" s="17"/>
      <c r="H13" s="17"/>
      <c r="I13" s="11" t="str">
        <f t="shared" ref="I13:I18" si="3">IF(AND(G13&lt;&gt;"",H13&lt;&gt;""),G13*H13,"")</f>
        <v/>
      </c>
      <c r="J13" s="13" t="str">
        <f t="shared" ref="J13:J18" si="4">IF(H13="","",IF(H13&gt;=VALUE(LEFT(MID(B13,FIND("-",B13)+1,2),2)),"✓",""))</f>
        <v/>
      </c>
      <c r="K13" s="10"/>
    </row>
    <row r="14">
      <c r="A14" s="10" t="s">
        <v>64</v>
      </c>
      <c r="B14" s="11" t="s">
        <v>51</v>
      </c>
      <c r="C14" s="12">
        <v>105.0</v>
      </c>
      <c r="D14" s="17"/>
      <c r="E14" s="17"/>
      <c r="F14" s="17"/>
      <c r="G14" s="17"/>
      <c r="H14" s="17"/>
      <c r="I14" s="11" t="str">
        <f t="shared" si="3"/>
        <v/>
      </c>
      <c r="J14" s="13" t="str">
        <f t="shared" si="4"/>
        <v/>
      </c>
      <c r="K14" s="10"/>
    </row>
    <row r="15">
      <c r="A15" s="14" t="s">
        <v>65</v>
      </c>
      <c r="B15" s="11" t="s">
        <v>66</v>
      </c>
      <c r="C15" s="12">
        <v>25.0</v>
      </c>
      <c r="D15" s="17"/>
      <c r="E15" s="17"/>
      <c r="F15" s="17"/>
      <c r="G15" s="17"/>
      <c r="H15" s="17"/>
      <c r="I15" s="11" t="str">
        <f t="shared" si="3"/>
        <v/>
      </c>
      <c r="J15" s="13" t="str">
        <f t="shared" si="4"/>
        <v/>
      </c>
      <c r="K15" s="10"/>
    </row>
    <row r="16">
      <c r="A16" s="10" t="s">
        <v>67</v>
      </c>
      <c r="B16" s="11" t="s">
        <v>60</v>
      </c>
      <c r="C16" s="12">
        <v>135.0</v>
      </c>
      <c r="D16" s="17"/>
      <c r="E16" s="17"/>
      <c r="F16" s="17"/>
      <c r="G16" s="17"/>
      <c r="H16" s="17"/>
      <c r="I16" s="11" t="str">
        <f t="shared" si="3"/>
        <v/>
      </c>
      <c r="J16" s="13" t="str">
        <f t="shared" si="4"/>
        <v/>
      </c>
      <c r="K16" s="10"/>
    </row>
    <row r="17">
      <c r="A17" s="10" t="s">
        <v>68</v>
      </c>
      <c r="B17" s="11" t="s">
        <v>69</v>
      </c>
      <c r="C17" s="12">
        <v>110.0</v>
      </c>
      <c r="D17" s="12"/>
      <c r="E17" s="12"/>
      <c r="F17" s="12"/>
      <c r="G17" s="12"/>
      <c r="H17" s="12"/>
      <c r="I17" s="11" t="str">
        <f t="shared" si="3"/>
        <v/>
      </c>
      <c r="J17" s="13" t="str">
        <f t="shared" si="4"/>
        <v/>
      </c>
      <c r="K17" s="10"/>
    </row>
    <row r="18">
      <c r="B18" s="11" t="s">
        <v>69</v>
      </c>
      <c r="C18" s="12">
        <v>70.0</v>
      </c>
      <c r="D18" s="12"/>
      <c r="E18" s="12"/>
      <c r="F18" s="12"/>
      <c r="G18" s="12"/>
      <c r="H18" s="12"/>
      <c r="I18" s="11" t="str">
        <f t="shared" si="3"/>
        <v/>
      </c>
      <c r="J18" s="13" t="str">
        <f t="shared" si="4"/>
        <v/>
      </c>
    </row>
    <row r="19" ht="15.0" customHeight="1">
      <c r="A19" s="8" t="s">
        <v>26</v>
      </c>
      <c r="B19" s="5"/>
      <c r="C19" s="5"/>
      <c r="D19" s="5"/>
      <c r="E19" s="5"/>
      <c r="F19" s="5"/>
      <c r="G19" s="5"/>
      <c r="H19" s="5"/>
      <c r="I19" s="5"/>
      <c r="J19" s="5"/>
      <c r="K19" s="7"/>
    </row>
    <row r="20">
      <c r="A20" s="16" t="s">
        <v>27</v>
      </c>
      <c r="B20" s="16" t="s">
        <v>31</v>
      </c>
      <c r="C20" s="16" t="s">
        <v>33</v>
      </c>
      <c r="D20" s="16" t="s">
        <v>34</v>
      </c>
      <c r="E20" s="16" t="s">
        <v>36</v>
      </c>
      <c r="F20" s="16" t="s">
        <v>38</v>
      </c>
      <c r="G20" s="16" t="s">
        <v>39</v>
      </c>
      <c r="H20" s="16" t="s">
        <v>41</v>
      </c>
      <c r="I20" s="16" t="s">
        <v>43</v>
      </c>
      <c r="J20" s="16" t="s">
        <v>45</v>
      </c>
      <c r="K20" s="16" t="s">
        <v>47</v>
      </c>
    </row>
    <row r="21" ht="15.75" customHeight="1">
      <c r="A21" s="14" t="s">
        <v>84</v>
      </c>
      <c r="B21" s="11" t="s">
        <v>51</v>
      </c>
      <c r="C21" s="12">
        <v>15.0</v>
      </c>
      <c r="D21" s="12">
        <v>12.0</v>
      </c>
      <c r="E21" s="12">
        <v>15.0</v>
      </c>
      <c r="F21" s="12">
        <v>12.0</v>
      </c>
      <c r="G21" s="12">
        <v>20.0</v>
      </c>
      <c r="H21" s="12">
        <v>13.0</v>
      </c>
      <c r="I21" s="11">
        <f t="shared" ref="I21:I25" si="5">IF(AND(G21&lt;&gt;"",H21&lt;&gt;""),G21*H21,"")</f>
        <v>260</v>
      </c>
      <c r="J21" s="13" t="str">
        <f t="shared" ref="J21:J25" si="6">IF(H21="","",IF(H21&gt;=VALUE(LEFT(MID(B21,FIND("-",B21)+1,2),2)),"✓",""))</f>
        <v>✓</v>
      </c>
    </row>
    <row r="22" ht="15.75" customHeight="1">
      <c r="A22" s="10" t="s">
        <v>71</v>
      </c>
      <c r="B22" s="11" t="s">
        <v>51</v>
      </c>
      <c r="C22" s="12">
        <v>135.0</v>
      </c>
      <c r="D22" s="12">
        <v>20.0</v>
      </c>
      <c r="E22" s="12">
        <v>135.0</v>
      </c>
      <c r="F22" s="12">
        <v>15.0</v>
      </c>
      <c r="G22" s="12">
        <v>135.0</v>
      </c>
      <c r="H22" s="12">
        <v>12.0</v>
      </c>
      <c r="I22" s="11">
        <f t="shared" si="5"/>
        <v>1620</v>
      </c>
      <c r="J22" s="13" t="str">
        <f t="shared" si="6"/>
        <v>✓</v>
      </c>
    </row>
    <row r="23" ht="15.75" customHeight="1">
      <c r="A23" s="10" t="s">
        <v>72</v>
      </c>
      <c r="B23" s="11" t="s">
        <v>73</v>
      </c>
      <c r="C23" s="12">
        <v>65.0</v>
      </c>
      <c r="D23" s="12">
        <v>11.0</v>
      </c>
      <c r="E23" s="12">
        <v>65.0</v>
      </c>
      <c r="F23" s="12">
        <v>10.0</v>
      </c>
      <c r="G23" s="12">
        <v>65.0</v>
      </c>
      <c r="H23" s="12">
        <v>10.0</v>
      </c>
      <c r="I23" s="11">
        <f t="shared" si="5"/>
        <v>650</v>
      </c>
      <c r="J23" s="13" t="str">
        <f t="shared" si="6"/>
        <v/>
      </c>
    </row>
    <row r="24" ht="15.75" customHeight="1">
      <c r="A24" s="10" t="s">
        <v>74</v>
      </c>
      <c r="B24" s="11" t="s">
        <v>75</v>
      </c>
      <c r="C24" s="12">
        <v>50.0</v>
      </c>
      <c r="D24" s="12">
        <v>12.0</v>
      </c>
      <c r="E24" s="12">
        <v>50.0</v>
      </c>
      <c r="F24" s="12"/>
      <c r="G24" s="12">
        <v>50.0</v>
      </c>
      <c r="H24" s="12"/>
      <c r="I24" s="11" t="str">
        <f t="shared" si="5"/>
        <v/>
      </c>
      <c r="J24" s="13" t="str">
        <f t="shared" si="6"/>
        <v/>
      </c>
    </row>
    <row r="25" ht="15.75" customHeight="1">
      <c r="A25" s="10" t="s">
        <v>76</v>
      </c>
      <c r="B25" s="11" t="s">
        <v>51</v>
      </c>
      <c r="C25" s="12">
        <v>95.0</v>
      </c>
      <c r="D25" s="12">
        <v>12.0</v>
      </c>
      <c r="E25" s="12">
        <v>95.0</v>
      </c>
      <c r="F25" s="12">
        <v>10.0</v>
      </c>
      <c r="G25" s="12">
        <v>95.0</v>
      </c>
      <c r="H25" s="12">
        <v>10.0</v>
      </c>
      <c r="I25" s="11">
        <f t="shared" si="5"/>
        <v>950</v>
      </c>
      <c r="J25" s="13" t="str">
        <f t="shared" si="6"/>
        <v/>
      </c>
    </row>
    <row r="26" ht="15.75" customHeight="1"/>
    <row r="27" ht="15.75" customHeight="1"/>
    <row r="28" ht="15.75" customHeight="1">
      <c r="A28" s="15" t="s">
        <v>77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K1"/>
    <mergeCell ref="A3:K3"/>
    <mergeCell ref="A11:K11"/>
    <mergeCell ref="A19:K19"/>
    <mergeCell ref="A28:K28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4.0"/>
    <col customWidth="1" min="3" max="8" width="9.0"/>
    <col customWidth="1" min="9" max="9" width="12.0"/>
    <col customWidth="1" min="10" max="10" width="9.0"/>
    <col customWidth="1" min="11" max="11" width="30.0"/>
    <col customWidth="1" min="12" max="26" width="8.71"/>
  </cols>
  <sheetData>
    <row r="1" ht="24.0" customHeight="1">
      <c r="A1" s="3" t="s">
        <v>81</v>
      </c>
      <c r="B1" s="5"/>
      <c r="C1" s="5"/>
      <c r="D1" s="5"/>
      <c r="E1" s="5"/>
      <c r="F1" s="5"/>
      <c r="G1" s="5"/>
      <c r="H1" s="5"/>
      <c r="I1" s="5"/>
      <c r="J1" s="5"/>
      <c r="K1" s="7"/>
    </row>
    <row r="3" ht="15.0" customHeight="1">
      <c r="A3" s="8" t="s">
        <v>7</v>
      </c>
      <c r="B3" s="5"/>
      <c r="C3" s="5"/>
      <c r="D3" s="5"/>
      <c r="E3" s="5"/>
      <c r="F3" s="5"/>
      <c r="G3" s="5"/>
      <c r="H3" s="5"/>
      <c r="I3" s="5"/>
      <c r="J3" s="5"/>
      <c r="K3" s="7"/>
    </row>
    <row r="4">
      <c r="A4" s="16" t="s">
        <v>27</v>
      </c>
      <c r="B4" s="16" t="s">
        <v>31</v>
      </c>
      <c r="C4" s="16" t="s">
        <v>33</v>
      </c>
      <c r="D4" s="16" t="s">
        <v>34</v>
      </c>
      <c r="E4" s="16" t="s">
        <v>36</v>
      </c>
      <c r="F4" s="16" t="s">
        <v>38</v>
      </c>
      <c r="G4" s="16" t="s">
        <v>39</v>
      </c>
      <c r="H4" s="16" t="s">
        <v>41</v>
      </c>
      <c r="I4" s="16" t="s">
        <v>43</v>
      </c>
      <c r="J4" s="16" t="s">
        <v>45</v>
      </c>
      <c r="K4" s="16" t="s">
        <v>47</v>
      </c>
    </row>
    <row r="5">
      <c r="A5" s="10" t="s">
        <v>49</v>
      </c>
      <c r="B5" s="11" t="s">
        <v>51</v>
      </c>
      <c r="C5" s="12">
        <v>45.0</v>
      </c>
      <c r="D5" s="12">
        <v>10.0</v>
      </c>
      <c r="E5" s="12">
        <v>45.0</v>
      </c>
      <c r="F5" s="12">
        <v>9.0</v>
      </c>
      <c r="G5" s="12">
        <v>45.0</v>
      </c>
      <c r="H5" s="12">
        <v>8.0</v>
      </c>
      <c r="I5" s="11">
        <f t="shared" ref="I5:I10" si="1">IF(AND(G5&lt;&gt;"",H5&lt;&gt;""),G5*H5,"")</f>
        <v>360</v>
      </c>
      <c r="J5" s="13" t="str">
        <f t="shared" ref="J5:J10" si="2">IF(H5="","",IF(H5&gt;=VALUE(LEFT(MID(B5,FIND("-",B5)+1,2),2)),"✓",""))</f>
        <v/>
      </c>
      <c r="K5" s="10"/>
    </row>
    <row r="6">
      <c r="A6" s="10" t="s">
        <v>57</v>
      </c>
      <c r="B6" s="11" t="s">
        <v>51</v>
      </c>
      <c r="C6" s="12">
        <v>50.0</v>
      </c>
      <c r="D6" s="12">
        <v>8.0</v>
      </c>
      <c r="E6" s="12">
        <v>50.0</v>
      </c>
      <c r="F6" s="12">
        <v>10.0</v>
      </c>
      <c r="G6" s="12">
        <v>50.0</v>
      </c>
      <c r="H6" s="12">
        <v>8.0</v>
      </c>
      <c r="I6" s="11">
        <f t="shared" si="1"/>
        <v>400</v>
      </c>
      <c r="J6" s="13" t="str">
        <f t="shared" si="2"/>
        <v/>
      </c>
      <c r="K6" s="10"/>
    </row>
    <row r="7">
      <c r="A7" s="10" t="s">
        <v>58</v>
      </c>
      <c r="B7" s="11" t="s">
        <v>51</v>
      </c>
      <c r="C7" s="12">
        <v>25.0</v>
      </c>
      <c r="D7" s="12">
        <v>12.0</v>
      </c>
      <c r="E7" s="12">
        <v>30.0</v>
      </c>
      <c r="F7" s="12">
        <v>8.0</v>
      </c>
      <c r="G7" s="12">
        <v>30.0</v>
      </c>
      <c r="H7" s="12">
        <v>8.0</v>
      </c>
      <c r="I7" s="11">
        <f t="shared" si="1"/>
        <v>240</v>
      </c>
      <c r="J7" s="13" t="str">
        <f t="shared" si="2"/>
        <v/>
      </c>
      <c r="K7" s="10"/>
    </row>
    <row r="8">
      <c r="A8" s="10" t="s">
        <v>59</v>
      </c>
      <c r="B8" s="11" t="s">
        <v>60</v>
      </c>
      <c r="C8" s="12">
        <v>15.0</v>
      </c>
      <c r="D8" s="12">
        <v>15.0</v>
      </c>
      <c r="E8" s="12">
        <v>15.0</v>
      </c>
      <c r="F8" s="12">
        <v>15.0</v>
      </c>
      <c r="G8" s="12">
        <v>15.0</v>
      </c>
      <c r="H8" s="12">
        <v>15.0</v>
      </c>
      <c r="I8" s="11">
        <f t="shared" si="1"/>
        <v>225</v>
      </c>
      <c r="J8" s="13" t="str">
        <f t="shared" si="2"/>
        <v>✓</v>
      </c>
      <c r="K8" s="10"/>
    </row>
    <row r="9">
      <c r="A9" s="10" t="s">
        <v>61</v>
      </c>
      <c r="B9" s="11" t="s">
        <v>60</v>
      </c>
      <c r="C9" s="12">
        <v>25.0</v>
      </c>
      <c r="D9" s="12">
        <v>15.0</v>
      </c>
      <c r="E9" s="12">
        <v>25.0</v>
      </c>
      <c r="F9" s="12">
        <v>15.0</v>
      </c>
      <c r="G9" s="12">
        <v>20.0</v>
      </c>
      <c r="H9" s="12">
        <v>15.0</v>
      </c>
      <c r="I9" s="11">
        <f t="shared" si="1"/>
        <v>300</v>
      </c>
      <c r="J9" s="13" t="str">
        <f t="shared" si="2"/>
        <v>✓</v>
      </c>
      <c r="K9" s="10"/>
    </row>
    <row r="10">
      <c r="B10" s="11" t="s">
        <v>60</v>
      </c>
      <c r="C10" s="12">
        <v>45.0</v>
      </c>
      <c r="D10" s="12">
        <v>15.0</v>
      </c>
      <c r="E10" s="12">
        <v>45.0</v>
      </c>
      <c r="F10" s="12">
        <v>13.0</v>
      </c>
      <c r="G10" s="12">
        <v>40.0</v>
      </c>
      <c r="H10" s="12">
        <v>15.0</v>
      </c>
      <c r="I10" s="11">
        <f t="shared" si="1"/>
        <v>600</v>
      </c>
      <c r="J10" s="13" t="str">
        <f t="shared" si="2"/>
        <v>✓</v>
      </c>
    </row>
    <row r="11" ht="15.0" customHeight="1">
      <c r="A11" s="8" t="s">
        <v>17</v>
      </c>
      <c r="B11" s="5"/>
      <c r="C11" s="5"/>
      <c r="D11" s="5"/>
      <c r="E11" s="5"/>
      <c r="F11" s="5"/>
      <c r="G11" s="5"/>
      <c r="H11" s="5"/>
      <c r="I11" s="5"/>
      <c r="J11" s="5"/>
      <c r="K11" s="7"/>
    </row>
    <row r="12">
      <c r="A12" s="16" t="s">
        <v>27</v>
      </c>
      <c r="B12" s="16" t="s">
        <v>31</v>
      </c>
      <c r="C12" s="16" t="s">
        <v>33</v>
      </c>
      <c r="D12" s="16" t="s">
        <v>34</v>
      </c>
      <c r="E12" s="16" t="s">
        <v>36</v>
      </c>
      <c r="F12" s="16" t="s">
        <v>38</v>
      </c>
      <c r="G12" s="16" t="s">
        <v>39</v>
      </c>
      <c r="H12" s="16" t="s">
        <v>41</v>
      </c>
      <c r="I12" s="16" t="s">
        <v>43</v>
      </c>
      <c r="J12" s="16" t="s">
        <v>45</v>
      </c>
      <c r="K12" s="16" t="s">
        <v>47</v>
      </c>
    </row>
    <row r="13">
      <c r="A13" s="10" t="s">
        <v>62</v>
      </c>
      <c r="B13" s="11" t="s">
        <v>51</v>
      </c>
      <c r="C13" s="12">
        <v>115.0</v>
      </c>
      <c r="D13" s="12">
        <v>12.0</v>
      </c>
      <c r="E13" s="12">
        <v>125.0</v>
      </c>
      <c r="F13" s="12">
        <v>10.0</v>
      </c>
      <c r="G13" s="12">
        <v>125.0</v>
      </c>
      <c r="H13" s="12">
        <v>10.0</v>
      </c>
      <c r="I13" s="11">
        <f t="shared" ref="I13:I18" si="3">IF(AND(G13&lt;&gt;"",H13&lt;&gt;""),G13*H13,"")</f>
        <v>1250</v>
      </c>
      <c r="J13" s="13" t="str">
        <f t="shared" ref="J13:J18" si="4">IF(H13="","",IF(H13&gt;=VALUE(LEFT(MID(B13,FIND("-",B13)+1,2),2)),"✓",""))</f>
        <v/>
      </c>
      <c r="K13" s="10"/>
    </row>
    <row r="14">
      <c r="A14" s="10" t="s">
        <v>64</v>
      </c>
      <c r="B14" s="11" t="s">
        <v>51</v>
      </c>
      <c r="C14" s="12">
        <v>105.0</v>
      </c>
      <c r="D14" s="12">
        <v>12.0</v>
      </c>
      <c r="E14" s="12">
        <v>105.0</v>
      </c>
      <c r="F14" s="12">
        <v>8.0</v>
      </c>
      <c r="G14" s="12">
        <v>100.0</v>
      </c>
      <c r="H14" s="12">
        <v>9.0</v>
      </c>
      <c r="I14" s="11">
        <f t="shared" si="3"/>
        <v>900</v>
      </c>
      <c r="J14" s="13" t="str">
        <f t="shared" si="4"/>
        <v/>
      </c>
      <c r="K14" s="10"/>
    </row>
    <row r="15">
      <c r="A15" s="14" t="s">
        <v>65</v>
      </c>
      <c r="B15" s="11" t="s">
        <v>66</v>
      </c>
      <c r="C15" s="12">
        <v>30.0</v>
      </c>
      <c r="D15" s="12">
        <v>12.0</v>
      </c>
      <c r="E15" s="12">
        <v>30.0</v>
      </c>
      <c r="F15" s="12">
        <v>12.0</v>
      </c>
      <c r="G15" s="12">
        <v>30.0</v>
      </c>
      <c r="H15" s="12">
        <v>12.0</v>
      </c>
      <c r="I15" s="11">
        <f t="shared" si="3"/>
        <v>360</v>
      </c>
      <c r="J15" s="13" t="str">
        <f t="shared" si="4"/>
        <v>✓</v>
      </c>
      <c r="K15" s="10"/>
    </row>
    <row r="16">
      <c r="A16" s="14" t="s">
        <v>85</v>
      </c>
      <c r="B16" s="11" t="s">
        <v>60</v>
      </c>
      <c r="C16" s="12">
        <v>135.0</v>
      </c>
      <c r="D16" s="12">
        <v>13.0</v>
      </c>
      <c r="E16" s="12">
        <v>135.0</v>
      </c>
      <c r="F16" s="12">
        <v>12.0</v>
      </c>
      <c r="G16" s="12">
        <v>135.0</v>
      </c>
      <c r="H16" s="12">
        <v>15.0</v>
      </c>
      <c r="I16" s="11">
        <f t="shared" si="3"/>
        <v>2025</v>
      </c>
      <c r="J16" s="13" t="str">
        <f t="shared" si="4"/>
        <v>✓</v>
      </c>
      <c r="K16" s="10"/>
    </row>
    <row r="17">
      <c r="A17" s="10" t="s">
        <v>68</v>
      </c>
      <c r="B17" s="11" t="s">
        <v>69</v>
      </c>
      <c r="C17" s="12">
        <v>110.0</v>
      </c>
      <c r="D17" s="12">
        <v>13.0</v>
      </c>
      <c r="E17" s="12">
        <v>110.0</v>
      </c>
      <c r="F17" s="12">
        <v>13.0</v>
      </c>
      <c r="G17" s="12">
        <v>110.0</v>
      </c>
      <c r="H17" s="12">
        <v>13.0</v>
      </c>
      <c r="I17" s="11">
        <f t="shared" si="3"/>
        <v>1430</v>
      </c>
      <c r="J17" s="13" t="str">
        <f t="shared" si="4"/>
        <v/>
      </c>
      <c r="K17" s="10"/>
    </row>
    <row r="18">
      <c r="B18" s="11" t="s">
        <v>69</v>
      </c>
      <c r="C18" s="12">
        <v>70.0</v>
      </c>
      <c r="D18" s="12">
        <v>15.0</v>
      </c>
      <c r="E18" s="12">
        <v>70.0</v>
      </c>
      <c r="F18" s="12">
        <v>15.0</v>
      </c>
      <c r="G18" s="12">
        <v>70.0</v>
      </c>
      <c r="H18" s="12">
        <v>15.0</v>
      </c>
      <c r="I18" s="11">
        <f t="shared" si="3"/>
        <v>1050</v>
      </c>
      <c r="J18" s="13" t="str">
        <f t="shared" si="4"/>
        <v>✓</v>
      </c>
    </row>
    <row r="19" ht="15.0" customHeight="1">
      <c r="A19" s="8" t="s">
        <v>26</v>
      </c>
      <c r="B19" s="5"/>
      <c r="C19" s="5"/>
      <c r="D19" s="5"/>
      <c r="E19" s="5"/>
      <c r="F19" s="5"/>
      <c r="G19" s="5"/>
      <c r="H19" s="5"/>
      <c r="I19" s="5"/>
      <c r="J19" s="5"/>
      <c r="K19" s="7"/>
    </row>
    <row r="20">
      <c r="A20" s="16" t="s">
        <v>27</v>
      </c>
      <c r="B20" s="16" t="s">
        <v>31</v>
      </c>
      <c r="C20" s="16" t="s">
        <v>33</v>
      </c>
      <c r="D20" s="16" t="s">
        <v>34</v>
      </c>
      <c r="E20" s="16" t="s">
        <v>36</v>
      </c>
      <c r="F20" s="16" t="s">
        <v>38</v>
      </c>
      <c r="G20" s="16" t="s">
        <v>39</v>
      </c>
      <c r="H20" s="16" t="s">
        <v>41</v>
      </c>
      <c r="I20" s="16" t="s">
        <v>43</v>
      </c>
      <c r="J20" s="16" t="s">
        <v>45</v>
      </c>
      <c r="K20" s="16" t="s">
        <v>47</v>
      </c>
    </row>
    <row r="21" ht="15.75" customHeight="1">
      <c r="A21" s="14" t="s">
        <v>84</v>
      </c>
      <c r="B21" s="11" t="s">
        <v>51</v>
      </c>
      <c r="C21" s="12">
        <v>15.0</v>
      </c>
      <c r="D21" s="12">
        <v>12.0</v>
      </c>
      <c r="E21" s="12">
        <v>15.0</v>
      </c>
      <c r="F21" s="12">
        <v>12.0</v>
      </c>
      <c r="G21" s="12">
        <v>15.0</v>
      </c>
      <c r="H21" s="12">
        <v>12.0</v>
      </c>
      <c r="I21" s="11">
        <f t="shared" ref="I21:I25" si="5">IF(AND(G21&lt;&gt;"",H21&lt;&gt;""),G21*H21,"")</f>
        <v>180</v>
      </c>
      <c r="J21" s="13" t="str">
        <f t="shared" ref="J21:J25" si="6">IF(H21="","",IF(H21&gt;=VALUE(LEFT(MID(B21,FIND("-",B21)+1,2),2)),"✓",""))</f>
        <v>✓</v>
      </c>
      <c r="K21" s="10"/>
    </row>
    <row r="22" ht="15.75" customHeight="1">
      <c r="A22" s="10" t="s">
        <v>71</v>
      </c>
      <c r="B22" s="11" t="s">
        <v>51</v>
      </c>
      <c r="C22" s="12">
        <v>135.0</v>
      </c>
      <c r="D22" s="12">
        <v>20.0</v>
      </c>
      <c r="E22" s="12">
        <v>135.0</v>
      </c>
      <c r="F22" s="12">
        <v>15.0</v>
      </c>
      <c r="G22" s="12">
        <v>135.0</v>
      </c>
      <c r="H22" s="12">
        <v>13.0</v>
      </c>
      <c r="I22" s="11">
        <f t="shared" si="5"/>
        <v>1755</v>
      </c>
      <c r="J22" s="13" t="str">
        <f t="shared" si="6"/>
        <v>✓</v>
      </c>
      <c r="K22" s="10"/>
    </row>
    <row r="23" ht="15.75" customHeight="1">
      <c r="A23" s="10" t="s">
        <v>72</v>
      </c>
      <c r="B23" s="11" t="s">
        <v>73</v>
      </c>
      <c r="C23" s="12">
        <v>65.0</v>
      </c>
      <c r="D23" s="12">
        <v>12.0</v>
      </c>
      <c r="E23" s="12">
        <v>65.0</v>
      </c>
      <c r="F23" s="12">
        <v>11.0</v>
      </c>
      <c r="G23" s="12">
        <v>65.0</v>
      </c>
      <c r="H23" s="12">
        <v>11.0</v>
      </c>
      <c r="I23" s="11">
        <f t="shared" si="5"/>
        <v>715</v>
      </c>
      <c r="J23" s="13" t="str">
        <f t="shared" si="6"/>
        <v/>
      </c>
      <c r="K23" s="10"/>
    </row>
    <row r="24" ht="15.75" customHeight="1">
      <c r="A24" s="10" t="s">
        <v>74</v>
      </c>
      <c r="B24" s="11" t="s">
        <v>75</v>
      </c>
      <c r="C24" s="12">
        <v>50.0</v>
      </c>
      <c r="D24" s="12">
        <v>12.0</v>
      </c>
      <c r="E24" s="12">
        <v>50.0</v>
      </c>
      <c r="F24" s="12">
        <v>12.0</v>
      </c>
      <c r="G24" s="12">
        <v>50.0</v>
      </c>
      <c r="H24" s="12">
        <v>12.0</v>
      </c>
      <c r="I24" s="11">
        <f t="shared" si="5"/>
        <v>600</v>
      </c>
      <c r="J24" s="13" t="str">
        <f t="shared" si="6"/>
        <v/>
      </c>
      <c r="K24" s="10"/>
    </row>
    <row r="25" ht="15.75" customHeight="1">
      <c r="A25" s="10" t="s">
        <v>76</v>
      </c>
      <c r="B25" s="11" t="s">
        <v>51</v>
      </c>
      <c r="C25" s="12">
        <v>100.0</v>
      </c>
      <c r="D25" s="12">
        <v>12.0</v>
      </c>
      <c r="E25" s="12">
        <v>105.0</v>
      </c>
      <c r="F25" s="12">
        <v>11.0</v>
      </c>
      <c r="G25" s="12">
        <v>110.0</v>
      </c>
      <c r="H25" s="12">
        <v>8.0</v>
      </c>
      <c r="I25" s="11">
        <f t="shared" si="5"/>
        <v>880</v>
      </c>
      <c r="J25" s="13" t="str">
        <f t="shared" si="6"/>
        <v/>
      </c>
      <c r="K25" s="10"/>
    </row>
    <row r="26" ht="15.75" customHeight="1"/>
    <row r="27" ht="15.75" customHeight="1"/>
    <row r="28" ht="15.75" customHeight="1">
      <c r="A28" s="15" t="s">
        <v>77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K1"/>
    <mergeCell ref="A3:K3"/>
    <mergeCell ref="A11:K11"/>
    <mergeCell ref="A19:K19"/>
    <mergeCell ref="A28:K28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4.0"/>
    <col customWidth="1" min="3" max="8" width="9.0"/>
    <col customWidth="1" min="9" max="9" width="12.0"/>
    <col customWidth="1" min="10" max="10" width="9.0"/>
    <col customWidth="1" min="11" max="11" width="30.0"/>
    <col customWidth="1" min="12" max="26" width="8.71"/>
  </cols>
  <sheetData>
    <row r="1" ht="24.0" customHeight="1">
      <c r="A1" s="3" t="s">
        <v>83</v>
      </c>
      <c r="B1" s="5"/>
      <c r="C1" s="5"/>
      <c r="D1" s="5"/>
      <c r="E1" s="5"/>
      <c r="F1" s="5"/>
      <c r="G1" s="5"/>
      <c r="H1" s="5"/>
      <c r="I1" s="5"/>
      <c r="J1" s="5"/>
      <c r="K1" s="7"/>
    </row>
    <row r="3" ht="15.0" customHeight="1">
      <c r="A3" s="8" t="s">
        <v>7</v>
      </c>
      <c r="B3" s="5"/>
      <c r="C3" s="5"/>
      <c r="D3" s="5"/>
      <c r="E3" s="5"/>
      <c r="F3" s="5"/>
      <c r="G3" s="5"/>
      <c r="H3" s="5"/>
      <c r="I3" s="5"/>
      <c r="J3" s="5"/>
      <c r="K3" s="7"/>
    </row>
    <row r="4">
      <c r="A4" s="16" t="s">
        <v>27</v>
      </c>
      <c r="B4" s="16" t="s">
        <v>31</v>
      </c>
      <c r="C4" s="16" t="s">
        <v>33</v>
      </c>
      <c r="D4" s="16" t="s">
        <v>34</v>
      </c>
      <c r="E4" s="16" t="s">
        <v>36</v>
      </c>
      <c r="F4" s="16" t="s">
        <v>38</v>
      </c>
      <c r="G4" s="16" t="s">
        <v>39</v>
      </c>
      <c r="H4" s="16" t="s">
        <v>41</v>
      </c>
      <c r="I4" s="16" t="s">
        <v>43</v>
      </c>
      <c r="J4" s="16" t="s">
        <v>45</v>
      </c>
      <c r="K4" s="16" t="s">
        <v>47</v>
      </c>
    </row>
    <row r="5">
      <c r="A5" s="10" t="s">
        <v>49</v>
      </c>
      <c r="B5" s="11" t="s">
        <v>51</v>
      </c>
      <c r="C5" s="12">
        <v>45.0</v>
      </c>
      <c r="D5" s="12">
        <v>10.0</v>
      </c>
      <c r="E5" s="12">
        <v>45.0</v>
      </c>
      <c r="F5" s="12">
        <v>8.0</v>
      </c>
      <c r="G5" s="12">
        <v>45.0</v>
      </c>
      <c r="H5" s="12">
        <v>9.0</v>
      </c>
      <c r="I5" s="11">
        <f t="shared" ref="I5:I10" si="1">IF(AND(G5&lt;&gt;"",H5&lt;&gt;""),G5*H5,"")</f>
        <v>405</v>
      </c>
      <c r="J5" s="13" t="str">
        <f t="shared" ref="J5:J10" si="2">IF(H5="","",IF(H5&gt;=VALUE(LEFT(MID(B5,FIND("-",B5)+1,2),2)),"✓",""))</f>
        <v/>
      </c>
      <c r="K5" s="10"/>
    </row>
    <row r="6">
      <c r="A6" s="10" t="s">
        <v>57</v>
      </c>
      <c r="B6" s="11" t="s">
        <v>51</v>
      </c>
      <c r="C6" s="12">
        <v>45.0</v>
      </c>
      <c r="D6" s="12">
        <v>12.0</v>
      </c>
      <c r="E6" s="12">
        <v>50.0</v>
      </c>
      <c r="F6" s="12">
        <v>9.0</v>
      </c>
      <c r="G6" s="12">
        <v>50.0</v>
      </c>
      <c r="H6" s="12">
        <v>8.0</v>
      </c>
      <c r="I6" s="11">
        <f t="shared" si="1"/>
        <v>400</v>
      </c>
      <c r="J6" s="13" t="str">
        <f t="shared" si="2"/>
        <v/>
      </c>
      <c r="K6" s="10"/>
    </row>
    <row r="7">
      <c r="A7" s="10" t="s">
        <v>58</v>
      </c>
      <c r="B7" s="11" t="s">
        <v>51</v>
      </c>
      <c r="C7" s="12">
        <v>30.0</v>
      </c>
      <c r="D7" s="12">
        <v>12.0</v>
      </c>
      <c r="E7" s="12">
        <v>30.0</v>
      </c>
      <c r="F7" s="12">
        <v>11.0</v>
      </c>
      <c r="G7" s="12">
        <v>30.0</v>
      </c>
      <c r="H7" s="12">
        <v>9.0</v>
      </c>
      <c r="I7" s="11">
        <f t="shared" si="1"/>
        <v>270</v>
      </c>
      <c r="J7" s="13" t="str">
        <f t="shared" si="2"/>
        <v/>
      </c>
      <c r="K7" s="10"/>
    </row>
    <row r="8">
      <c r="A8" s="10" t="s">
        <v>59</v>
      </c>
      <c r="B8" s="11" t="s">
        <v>60</v>
      </c>
      <c r="C8" s="12">
        <v>10.0</v>
      </c>
      <c r="D8" s="12">
        <v>15.0</v>
      </c>
      <c r="E8" s="12">
        <v>10.0</v>
      </c>
      <c r="F8" s="12">
        <v>15.0</v>
      </c>
      <c r="G8" s="12">
        <v>10.0</v>
      </c>
      <c r="H8" s="12">
        <v>15.0</v>
      </c>
      <c r="I8" s="11">
        <f t="shared" si="1"/>
        <v>150</v>
      </c>
      <c r="J8" s="13" t="str">
        <f t="shared" si="2"/>
        <v>✓</v>
      </c>
      <c r="K8" s="10"/>
    </row>
    <row r="9">
      <c r="A9" s="10" t="s">
        <v>61</v>
      </c>
      <c r="B9" s="11" t="s">
        <v>60</v>
      </c>
      <c r="C9" s="12">
        <v>25.0</v>
      </c>
      <c r="D9" s="12">
        <v>13.0</v>
      </c>
      <c r="E9" s="12">
        <v>25.0</v>
      </c>
      <c r="F9" s="12">
        <v>15.0</v>
      </c>
      <c r="G9" s="12">
        <v>25.0</v>
      </c>
      <c r="H9" s="12">
        <v>12.0</v>
      </c>
      <c r="I9" s="11">
        <f t="shared" si="1"/>
        <v>300</v>
      </c>
      <c r="J9" s="13" t="str">
        <f t="shared" si="2"/>
        <v/>
      </c>
      <c r="K9" s="10"/>
    </row>
    <row r="10">
      <c r="B10" s="11" t="s">
        <v>60</v>
      </c>
      <c r="C10" s="12">
        <v>45.0</v>
      </c>
      <c r="D10" s="12">
        <v>14.0</v>
      </c>
      <c r="E10" s="12">
        <v>45.0</v>
      </c>
      <c r="F10" s="12">
        <v>13.0</v>
      </c>
      <c r="G10" s="12">
        <v>45.0</v>
      </c>
      <c r="H10" s="12">
        <v>12.0</v>
      </c>
      <c r="I10" s="11">
        <f t="shared" si="1"/>
        <v>540</v>
      </c>
      <c r="J10" s="13" t="str">
        <f t="shared" si="2"/>
        <v/>
      </c>
    </row>
    <row r="11" ht="15.0" customHeight="1">
      <c r="A11" s="8" t="s">
        <v>17</v>
      </c>
      <c r="B11" s="5"/>
      <c r="C11" s="5"/>
      <c r="D11" s="5"/>
      <c r="E11" s="5"/>
      <c r="F11" s="5"/>
      <c r="G11" s="5"/>
      <c r="H11" s="5"/>
      <c r="I11" s="5"/>
      <c r="J11" s="5"/>
      <c r="K11" s="7"/>
    </row>
    <row r="12">
      <c r="A12" s="16" t="s">
        <v>27</v>
      </c>
      <c r="B12" s="16" t="s">
        <v>31</v>
      </c>
      <c r="C12" s="16" t="s">
        <v>33</v>
      </c>
      <c r="D12" s="16" t="s">
        <v>34</v>
      </c>
      <c r="E12" s="16" t="s">
        <v>36</v>
      </c>
      <c r="F12" s="16" t="s">
        <v>38</v>
      </c>
      <c r="G12" s="16" t="s">
        <v>39</v>
      </c>
      <c r="H12" s="16" t="s">
        <v>41</v>
      </c>
      <c r="I12" s="16" t="s">
        <v>43</v>
      </c>
      <c r="J12" s="16" t="s">
        <v>45</v>
      </c>
      <c r="K12" s="16" t="s">
        <v>47</v>
      </c>
    </row>
    <row r="13">
      <c r="A13" s="10" t="s">
        <v>62</v>
      </c>
      <c r="B13" s="11" t="s">
        <v>51</v>
      </c>
      <c r="C13" s="12">
        <v>125.0</v>
      </c>
      <c r="D13" s="12">
        <v>12.0</v>
      </c>
      <c r="E13" s="12">
        <v>130.0</v>
      </c>
      <c r="F13" s="12">
        <v>12.0</v>
      </c>
      <c r="G13" s="12">
        <v>135.0</v>
      </c>
      <c r="H13" s="12">
        <v>10.0</v>
      </c>
      <c r="I13" s="11">
        <f t="shared" ref="I13:I18" si="3">IF(AND(G13&lt;&gt;"",H13&lt;&gt;""),G13*H13,"")</f>
        <v>1350</v>
      </c>
      <c r="J13" s="13" t="str">
        <f t="shared" ref="J13:J18" si="4">IF(H13="","",IF(H13&gt;=VALUE(LEFT(MID(B13,FIND("-",B13)+1,2),2)),"✓",""))</f>
        <v/>
      </c>
      <c r="K13" s="10"/>
    </row>
    <row r="14">
      <c r="A14" s="10" t="s">
        <v>64</v>
      </c>
      <c r="B14" s="11" t="s">
        <v>51</v>
      </c>
      <c r="C14" s="12">
        <v>95.0</v>
      </c>
      <c r="D14" s="12">
        <v>12.0</v>
      </c>
      <c r="E14" s="12">
        <v>100.0</v>
      </c>
      <c r="F14" s="12">
        <v>10.0</v>
      </c>
      <c r="G14" s="12">
        <v>100.0</v>
      </c>
      <c r="H14" s="12">
        <v>11.0</v>
      </c>
      <c r="I14" s="11">
        <f t="shared" si="3"/>
        <v>1100</v>
      </c>
      <c r="J14" s="13" t="str">
        <f t="shared" si="4"/>
        <v/>
      </c>
      <c r="K14" s="10"/>
    </row>
    <row r="15">
      <c r="A15" s="14" t="s">
        <v>65</v>
      </c>
      <c r="B15" s="11" t="s">
        <v>66</v>
      </c>
      <c r="C15" s="12">
        <v>30.0</v>
      </c>
      <c r="D15" s="12">
        <v>12.0</v>
      </c>
      <c r="E15" s="12">
        <v>30.0</v>
      </c>
      <c r="F15" s="12">
        <v>12.0</v>
      </c>
      <c r="G15" s="12">
        <v>35.0</v>
      </c>
      <c r="H15" s="12">
        <v>8.0</v>
      </c>
      <c r="I15" s="11">
        <f t="shared" si="3"/>
        <v>280</v>
      </c>
      <c r="J15" s="13" t="str">
        <f t="shared" si="4"/>
        <v/>
      </c>
      <c r="K15" s="10"/>
    </row>
    <row r="16">
      <c r="A16" s="10" t="s">
        <v>67</v>
      </c>
      <c r="B16" s="11" t="s">
        <v>60</v>
      </c>
      <c r="C16" s="12">
        <v>135.0</v>
      </c>
      <c r="D16" s="12">
        <v>15.0</v>
      </c>
      <c r="E16" s="12">
        <v>135.0</v>
      </c>
      <c r="F16" s="12">
        <v>15.0</v>
      </c>
      <c r="G16" s="12">
        <v>140.0</v>
      </c>
      <c r="H16" s="12">
        <v>15.0</v>
      </c>
      <c r="I16" s="11">
        <f t="shared" si="3"/>
        <v>2100</v>
      </c>
      <c r="J16" s="13" t="str">
        <f t="shared" si="4"/>
        <v>✓</v>
      </c>
      <c r="K16" s="10"/>
    </row>
    <row r="17">
      <c r="A17" s="10" t="s">
        <v>68</v>
      </c>
      <c r="B17" s="11" t="s">
        <v>69</v>
      </c>
      <c r="C17" s="12">
        <v>110.0</v>
      </c>
      <c r="D17" s="12">
        <v>15.0</v>
      </c>
      <c r="E17" s="12">
        <v>110.0</v>
      </c>
      <c r="F17" s="12">
        <v>15.0</v>
      </c>
      <c r="G17" s="12">
        <v>115.0</v>
      </c>
      <c r="H17" s="12">
        <v>13.0</v>
      </c>
      <c r="I17" s="11">
        <f t="shared" si="3"/>
        <v>1495</v>
      </c>
      <c r="J17" s="13" t="str">
        <f t="shared" si="4"/>
        <v/>
      </c>
      <c r="K17" s="10"/>
    </row>
    <row r="18">
      <c r="B18" s="11" t="s">
        <v>69</v>
      </c>
      <c r="C18" s="12">
        <v>70.0</v>
      </c>
      <c r="D18" s="12">
        <v>15.0</v>
      </c>
      <c r="E18" s="12">
        <v>70.0</v>
      </c>
      <c r="F18" s="12">
        <v>15.0</v>
      </c>
      <c r="G18" s="12">
        <v>75.0</v>
      </c>
      <c r="H18" s="12">
        <v>15.0</v>
      </c>
      <c r="I18" s="11">
        <f t="shared" si="3"/>
        <v>1125</v>
      </c>
      <c r="J18" s="13" t="str">
        <f t="shared" si="4"/>
        <v>✓</v>
      </c>
    </row>
    <row r="19" ht="15.0" customHeight="1">
      <c r="A19" s="8" t="s">
        <v>26</v>
      </c>
      <c r="B19" s="5"/>
      <c r="C19" s="5"/>
      <c r="D19" s="5"/>
      <c r="E19" s="5"/>
      <c r="F19" s="5"/>
      <c r="G19" s="5"/>
      <c r="H19" s="5"/>
      <c r="I19" s="5"/>
      <c r="J19" s="5"/>
      <c r="K19" s="7"/>
    </row>
    <row r="20">
      <c r="A20" s="16" t="s">
        <v>27</v>
      </c>
      <c r="B20" s="16" t="s">
        <v>31</v>
      </c>
      <c r="C20" s="16" t="s">
        <v>33</v>
      </c>
      <c r="D20" s="16" t="s">
        <v>34</v>
      </c>
      <c r="E20" s="16" t="s">
        <v>36</v>
      </c>
      <c r="F20" s="16" t="s">
        <v>38</v>
      </c>
      <c r="G20" s="16" t="s">
        <v>39</v>
      </c>
      <c r="H20" s="16" t="s">
        <v>41</v>
      </c>
      <c r="I20" s="16" t="s">
        <v>43</v>
      </c>
      <c r="J20" s="16" t="s">
        <v>45</v>
      </c>
      <c r="K20" s="16" t="s">
        <v>47</v>
      </c>
    </row>
    <row r="21" ht="15.75" customHeight="1">
      <c r="A21" s="14" t="s">
        <v>84</v>
      </c>
      <c r="B21" s="11" t="s">
        <v>51</v>
      </c>
      <c r="C21" s="12">
        <v>15.0</v>
      </c>
      <c r="D21" s="12">
        <v>20.0</v>
      </c>
      <c r="E21" s="12">
        <v>20.0</v>
      </c>
      <c r="F21" s="12">
        <v>20.0</v>
      </c>
      <c r="G21" s="12">
        <v>20.0</v>
      </c>
      <c r="H21" s="12">
        <v>20.0</v>
      </c>
      <c r="I21" s="11">
        <f t="shared" ref="I21:I25" si="5">IF(AND(G21&lt;&gt;"",H21&lt;&gt;""),G21*H21,"")</f>
        <v>400</v>
      </c>
      <c r="J21" s="13" t="str">
        <f t="shared" ref="J21:J25" si="6">IF(H21="","",IF(H21&gt;=VALUE(LEFT(MID(B21,FIND("-",B21)+1,2),2)),"✓",""))</f>
        <v>✓</v>
      </c>
      <c r="K21" s="10"/>
    </row>
    <row r="22" ht="15.75" customHeight="1">
      <c r="A22" s="10" t="s">
        <v>71</v>
      </c>
      <c r="B22" s="11" t="s">
        <v>51</v>
      </c>
      <c r="C22" s="12">
        <v>135.0</v>
      </c>
      <c r="D22" s="12">
        <v>22.0</v>
      </c>
      <c r="E22" s="12">
        <v>135.0</v>
      </c>
      <c r="F22" s="12">
        <v>17.0</v>
      </c>
      <c r="G22" s="12">
        <v>135.0</v>
      </c>
      <c r="H22" s="12">
        <v>10.0</v>
      </c>
      <c r="I22" s="11">
        <f t="shared" si="5"/>
        <v>1350</v>
      </c>
      <c r="J22" s="13" t="str">
        <f t="shared" si="6"/>
        <v/>
      </c>
      <c r="K22" s="10"/>
    </row>
    <row r="23" ht="15.75" customHeight="1">
      <c r="A23" s="10" t="s">
        <v>72</v>
      </c>
      <c r="B23" s="11" t="s">
        <v>73</v>
      </c>
      <c r="C23" s="12">
        <v>65.0</v>
      </c>
      <c r="D23" s="12">
        <v>12.0</v>
      </c>
      <c r="E23" s="12">
        <v>65.0</v>
      </c>
      <c r="F23" s="12">
        <v>10.0</v>
      </c>
      <c r="G23" s="12">
        <v>65.0</v>
      </c>
      <c r="H23" s="12">
        <v>10.0</v>
      </c>
      <c r="I23" s="11">
        <f t="shared" si="5"/>
        <v>650</v>
      </c>
      <c r="J23" s="13" t="str">
        <f t="shared" si="6"/>
        <v/>
      </c>
      <c r="K23" s="10"/>
    </row>
    <row r="24" ht="15.75" customHeight="1">
      <c r="A24" s="10" t="s">
        <v>74</v>
      </c>
      <c r="B24" s="11" t="s">
        <v>75</v>
      </c>
      <c r="C24" s="12">
        <v>50.0</v>
      </c>
      <c r="D24" s="12">
        <v>15.0</v>
      </c>
      <c r="E24" s="12">
        <v>50.0</v>
      </c>
      <c r="F24" s="12">
        <v>15.0</v>
      </c>
      <c r="G24" s="12">
        <v>50.0</v>
      </c>
      <c r="H24" s="12">
        <v>15.0</v>
      </c>
      <c r="I24" s="11">
        <f t="shared" si="5"/>
        <v>750</v>
      </c>
      <c r="J24" s="13" t="str">
        <f t="shared" si="6"/>
        <v>✓</v>
      </c>
      <c r="K24" s="10"/>
    </row>
    <row r="25" ht="15.75" customHeight="1">
      <c r="A25" s="10" t="s">
        <v>76</v>
      </c>
      <c r="B25" s="11" t="s">
        <v>51</v>
      </c>
      <c r="C25" s="12">
        <v>110.0</v>
      </c>
      <c r="D25" s="12">
        <v>12.0</v>
      </c>
      <c r="E25" s="12">
        <v>110.0</v>
      </c>
      <c r="F25" s="12">
        <v>10.0</v>
      </c>
      <c r="G25" s="12">
        <v>110.0</v>
      </c>
      <c r="H25" s="12">
        <v>8.0</v>
      </c>
      <c r="I25" s="11">
        <f t="shared" si="5"/>
        <v>880</v>
      </c>
      <c r="J25" s="13" t="str">
        <f t="shared" si="6"/>
        <v/>
      </c>
      <c r="K25" s="10"/>
    </row>
    <row r="26" ht="15.75" customHeight="1"/>
    <row r="27" ht="15.75" customHeight="1"/>
    <row r="28" ht="15.75" customHeight="1">
      <c r="A28" s="15" t="s">
        <v>77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K1"/>
    <mergeCell ref="A3:K3"/>
    <mergeCell ref="A11:K11"/>
    <mergeCell ref="A19:K19"/>
    <mergeCell ref="A28:K28"/>
  </mergeCell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4.0"/>
    <col customWidth="1" min="3" max="8" width="9.0"/>
    <col customWidth="1" min="9" max="9" width="12.0"/>
    <col customWidth="1" min="10" max="10" width="9.0"/>
    <col customWidth="1" min="11" max="11" width="30.0"/>
    <col customWidth="1" min="12" max="26" width="8.71"/>
  </cols>
  <sheetData>
    <row r="1" ht="24.0" customHeight="1">
      <c r="A1" s="3" t="s">
        <v>86</v>
      </c>
      <c r="B1" s="5"/>
      <c r="C1" s="5"/>
      <c r="D1" s="5"/>
      <c r="E1" s="5"/>
      <c r="F1" s="5"/>
      <c r="G1" s="5"/>
      <c r="H1" s="5"/>
      <c r="I1" s="5"/>
      <c r="J1" s="5"/>
      <c r="K1" s="7"/>
    </row>
    <row r="3" ht="15.0" customHeight="1">
      <c r="A3" s="8" t="s">
        <v>7</v>
      </c>
      <c r="B3" s="5"/>
      <c r="C3" s="5"/>
      <c r="D3" s="5"/>
      <c r="E3" s="5"/>
      <c r="F3" s="5"/>
      <c r="G3" s="5"/>
      <c r="H3" s="5"/>
      <c r="I3" s="5"/>
      <c r="J3" s="5"/>
      <c r="K3" s="7"/>
    </row>
    <row r="4">
      <c r="A4" s="18" t="s">
        <v>27</v>
      </c>
      <c r="B4" s="18" t="s">
        <v>31</v>
      </c>
      <c r="C4" s="18" t="s">
        <v>33</v>
      </c>
      <c r="D4" s="18" t="s">
        <v>34</v>
      </c>
      <c r="E4" s="18" t="s">
        <v>36</v>
      </c>
      <c r="F4" s="18" t="s">
        <v>38</v>
      </c>
      <c r="G4" s="18" t="s">
        <v>39</v>
      </c>
      <c r="H4" s="18" t="s">
        <v>41</v>
      </c>
      <c r="I4" s="18" t="s">
        <v>43</v>
      </c>
      <c r="J4" s="18" t="s">
        <v>45</v>
      </c>
      <c r="K4" s="18" t="s">
        <v>47</v>
      </c>
    </row>
    <row r="5">
      <c r="A5" s="10" t="s">
        <v>49</v>
      </c>
      <c r="B5" s="11" t="s">
        <v>51</v>
      </c>
      <c r="C5" s="12">
        <v>45.0</v>
      </c>
      <c r="D5" s="12">
        <v>9.0</v>
      </c>
      <c r="E5" s="12">
        <v>45.0</v>
      </c>
      <c r="F5" s="12">
        <v>9.0</v>
      </c>
      <c r="G5" s="12">
        <v>45.0</v>
      </c>
      <c r="H5" s="12">
        <v>8.0</v>
      </c>
      <c r="I5" s="11">
        <f t="shared" ref="I5:I10" si="1">IF(AND(G5&lt;&gt;"",H5&lt;&gt;""),G5*H5,"")</f>
        <v>360</v>
      </c>
      <c r="J5" s="13" t="str">
        <f t="shared" ref="J5:J10" si="2">IF(H5="","",IF(H5&gt;=VALUE(LEFT(MID(B5,FIND("-",B5)+1,2),2)),"✓",""))</f>
        <v/>
      </c>
      <c r="K5" s="10"/>
    </row>
    <row r="6">
      <c r="A6" s="10" t="s">
        <v>57</v>
      </c>
      <c r="B6" s="11" t="s">
        <v>51</v>
      </c>
      <c r="C6" s="12">
        <v>45.0</v>
      </c>
      <c r="D6" s="12">
        <v>12.0</v>
      </c>
      <c r="E6" s="12">
        <v>45.0</v>
      </c>
      <c r="F6" s="12">
        <v>10.0</v>
      </c>
      <c r="G6" s="12">
        <v>45.0</v>
      </c>
      <c r="H6" s="12">
        <v>9.0</v>
      </c>
      <c r="I6" s="11">
        <f t="shared" si="1"/>
        <v>405</v>
      </c>
      <c r="J6" s="13" t="str">
        <f t="shared" si="2"/>
        <v/>
      </c>
      <c r="K6" s="10"/>
    </row>
    <row r="7">
      <c r="A7" s="10" t="s">
        <v>58</v>
      </c>
      <c r="B7" s="11" t="s">
        <v>51</v>
      </c>
      <c r="C7" s="12">
        <v>30.0</v>
      </c>
      <c r="D7" s="12">
        <v>12.0</v>
      </c>
      <c r="E7" s="12">
        <v>30.0</v>
      </c>
      <c r="F7" s="12">
        <v>12.0</v>
      </c>
      <c r="G7" s="12">
        <v>30.0</v>
      </c>
      <c r="H7" s="12">
        <v>8.0</v>
      </c>
      <c r="I7" s="11">
        <f t="shared" si="1"/>
        <v>240</v>
      </c>
      <c r="J7" s="13" t="str">
        <f t="shared" si="2"/>
        <v/>
      </c>
      <c r="K7" s="10"/>
    </row>
    <row r="8">
      <c r="A8" s="10" t="s">
        <v>59</v>
      </c>
      <c r="B8" s="11" t="s">
        <v>60</v>
      </c>
      <c r="C8" s="12">
        <v>10.0</v>
      </c>
      <c r="D8" s="12">
        <v>12.0</v>
      </c>
      <c r="E8" s="12">
        <v>10.0</v>
      </c>
      <c r="F8" s="12">
        <v>12.0</v>
      </c>
      <c r="G8" s="12">
        <v>10.0</v>
      </c>
      <c r="H8" s="12">
        <v>12.0</v>
      </c>
      <c r="I8" s="11">
        <f t="shared" si="1"/>
        <v>120</v>
      </c>
      <c r="J8" s="13" t="str">
        <f t="shared" si="2"/>
        <v/>
      </c>
      <c r="K8" s="10"/>
    </row>
    <row r="9">
      <c r="A9" s="10" t="s">
        <v>61</v>
      </c>
      <c r="B9" s="11" t="s">
        <v>60</v>
      </c>
      <c r="C9" s="12">
        <v>25.0</v>
      </c>
      <c r="D9" s="12">
        <v>15.0</v>
      </c>
      <c r="E9" s="12">
        <v>25.0</v>
      </c>
      <c r="F9" s="12">
        <v>14.0</v>
      </c>
      <c r="G9" s="12">
        <v>25.0</v>
      </c>
      <c r="H9" s="12">
        <v>12.0</v>
      </c>
      <c r="I9" s="11">
        <f t="shared" si="1"/>
        <v>300</v>
      </c>
      <c r="J9" s="13" t="str">
        <f t="shared" si="2"/>
        <v/>
      </c>
      <c r="K9" s="10"/>
    </row>
    <row r="10">
      <c r="B10" s="11" t="s">
        <v>60</v>
      </c>
      <c r="C10" s="12">
        <v>45.0</v>
      </c>
      <c r="D10" s="12">
        <v>15.0</v>
      </c>
      <c r="E10" s="12">
        <v>45.0</v>
      </c>
      <c r="F10" s="12">
        <v>13.0</v>
      </c>
      <c r="G10" s="12">
        <v>45.0</v>
      </c>
      <c r="H10" s="12">
        <v>13.0</v>
      </c>
      <c r="I10" s="11">
        <f t="shared" si="1"/>
        <v>585</v>
      </c>
      <c r="J10" s="13" t="str">
        <f t="shared" si="2"/>
        <v/>
      </c>
    </row>
    <row r="11" ht="15.0" customHeight="1">
      <c r="A11" s="8" t="s">
        <v>17</v>
      </c>
      <c r="B11" s="5"/>
      <c r="C11" s="5"/>
      <c r="D11" s="5"/>
      <c r="E11" s="5"/>
      <c r="F11" s="5"/>
      <c r="G11" s="5"/>
      <c r="H11" s="5"/>
      <c r="I11" s="5"/>
      <c r="J11" s="5"/>
      <c r="K11" s="7"/>
    </row>
    <row r="12">
      <c r="A12" s="18" t="s">
        <v>27</v>
      </c>
      <c r="B12" s="18" t="s">
        <v>31</v>
      </c>
      <c r="C12" s="18" t="s">
        <v>33</v>
      </c>
      <c r="D12" s="18" t="s">
        <v>34</v>
      </c>
      <c r="E12" s="18" t="s">
        <v>36</v>
      </c>
      <c r="F12" s="18" t="s">
        <v>38</v>
      </c>
      <c r="G12" s="18" t="s">
        <v>39</v>
      </c>
      <c r="H12" s="18" t="s">
        <v>41</v>
      </c>
      <c r="I12" s="18" t="s">
        <v>43</v>
      </c>
      <c r="J12" s="18" t="s">
        <v>45</v>
      </c>
      <c r="K12" s="18" t="s">
        <v>47</v>
      </c>
    </row>
    <row r="13">
      <c r="A13" s="10" t="s">
        <v>62</v>
      </c>
      <c r="B13" s="11" t="s">
        <v>51</v>
      </c>
      <c r="C13" s="12">
        <v>135.0</v>
      </c>
      <c r="D13" s="12">
        <v>12.0</v>
      </c>
      <c r="E13" s="12">
        <v>135.0</v>
      </c>
      <c r="F13" s="12">
        <v>12.0</v>
      </c>
      <c r="G13" s="12">
        <v>140.0</v>
      </c>
      <c r="H13" s="12">
        <v>9.0</v>
      </c>
      <c r="I13" s="11">
        <f t="shared" ref="I13:I18" si="3">IF(AND(G13&lt;&gt;"",H13&lt;&gt;""),G13*H13,"")</f>
        <v>1260</v>
      </c>
      <c r="J13" s="13" t="str">
        <f t="shared" ref="J13:J18" si="4">IF(H13="","",IF(H13&gt;=VALUE(LEFT(MID(B13,FIND("-",B13)+1,2),2)),"✓",""))</f>
        <v/>
      </c>
      <c r="K13" s="10"/>
    </row>
    <row r="14">
      <c r="A14" s="10" t="s">
        <v>64</v>
      </c>
      <c r="B14" s="11" t="s">
        <v>51</v>
      </c>
      <c r="C14" s="12">
        <v>95.0</v>
      </c>
      <c r="D14" s="12">
        <v>12.0</v>
      </c>
      <c r="E14" s="12">
        <v>100.0</v>
      </c>
      <c r="F14" s="12">
        <v>11.0</v>
      </c>
      <c r="G14" s="12">
        <v>105.0</v>
      </c>
      <c r="H14" s="12">
        <v>8.0</v>
      </c>
      <c r="I14" s="11">
        <f t="shared" si="3"/>
        <v>840</v>
      </c>
      <c r="J14" s="13" t="str">
        <f t="shared" si="4"/>
        <v/>
      </c>
      <c r="K14" s="10"/>
    </row>
    <row r="15">
      <c r="A15" s="14" t="s">
        <v>65</v>
      </c>
      <c r="B15" s="11" t="s">
        <v>66</v>
      </c>
      <c r="C15" s="12">
        <v>35.0</v>
      </c>
      <c r="D15" s="12">
        <v>12.0</v>
      </c>
      <c r="E15" s="12">
        <v>35.0</v>
      </c>
      <c r="F15" s="12">
        <v>12.0</v>
      </c>
      <c r="G15" s="12">
        <v>40.0</v>
      </c>
      <c r="H15" s="12">
        <v>12.0</v>
      </c>
      <c r="I15" s="11">
        <f t="shared" si="3"/>
        <v>480</v>
      </c>
      <c r="J15" s="13" t="str">
        <f t="shared" si="4"/>
        <v>✓</v>
      </c>
      <c r="K15" s="10"/>
    </row>
    <row r="16">
      <c r="A16" s="10" t="s">
        <v>67</v>
      </c>
      <c r="B16" s="11" t="s">
        <v>60</v>
      </c>
      <c r="C16" s="12">
        <v>140.0</v>
      </c>
      <c r="D16" s="12">
        <v>14.0</v>
      </c>
      <c r="E16" s="12">
        <v>140.0</v>
      </c>
      <c r="F16" s="12">
        <v>14.0</v>
      </c>
      <c r="G16" s="12">
        <v>140.0</v>
      </c>
      <c r="H16" s="12">
        <v>13.0</v>
      </c>
      <c r="I16" s="11">
        <f t="shared" si="3"/>
        <v>1820</v>
      </c>
      <c r="J16" s="13" t="str">
        <f t="shared" si="4"/>
        <v/>
      </c>
      <c r="K16" s="10"/>
    </row>
    <row r="17">
      <c r="A17" s="10" t="s">
        <v>68</v>
      </c>
      <c r="B17" s="11" t="s">
        <v>69</v>
      </c>
      <c r="C17" s="12">
        <v>115.0</v>
      </c>
      <c r="D17" s="12">
        <v>15.0</v>
      </c>
      <c r="E17" s="12">
        <v>115.0</v>
      </c>
      <c r="F17" s="12">
        <v>15.0</v>
      </c>
      <c r="G17" s="12">
        <v>115.0</v>
      </c>
      <c r="H17" s="12">
        <v>15.0</v>
      </c>
      <c r="I17" s="11">
        <f t="shared" si="3"/>
        <v>1725</v>
      </c>
      <c r="J17" s="13" t="str">
        <f t="shared" si="4"/>
        <v>✓</v>
      </c>
      <c r="K17" s="10"/>
    </row>
    <row r="18">
      <c r="B18" s="11" t="s">
        <v>69</v>
      </c>
      <c r="C18" s="12">
        <v>75.0</v>
      </c>
      <c r="D18" s="12">
        <v>15.0</v>
      </c>
      <c r="E18" s="12">
        <v>75.0</v>
      </c>
      <c r="F18" s="12">
        <v>15.0</v>
      </c>
      <c r="G18" s="12">
        <v>75.0</v>
      </c>
      <c r="H18" s="12">
        <v>15.0</v>
      </c>
      <c r="I18" s="11">
        <f t="shared" si="3"/>
        <v>1125</v>
      </c>
      <c r="J18" s="13" t="str">
        <f t="shared" si="4"/>
        <v>✓</v>
      </c>
    </row>
    <row r="19" ht="15.0" customHeight="1">
      <c r="A19" s="8" t="s">
        <v>26</v>
      </c>
      <c r="B19" s="5"/>
      <c r="C19" s="5"/>
      <c r="D19" s="5"/>
      <c r="E19" s="5"/>
      <c r="F19" s="5"/>
      <c r="G19" s="5"/>
      <c r="H19" s="5"/>
      <c r="I19" s="5"/>
      <c r="J19" s="5"/>
      <c r="K19" s="7"/>
    </row>
    <row r="20">
      <c r="A20" s="18" t="s">
        <v>27</v>
      </c>
      <c r="B20" s="18" t="s">
        <v>31</v>
      </c>
      <c r="C20" s="18" t="s">
        <v>33</v>
      </c>
      <c r="D20" s="18" t="s">
        <v>34</v>
      </c>
      <c r="E20" s="18" t="s">
        <v>36</v>
      </c>
      <c r="F20" s="18" t="s">
        <v>38</v>
      </c>
      <c r="G20" s="18" t="s">
        <v>39</v>
      </c>
      <c r="H20" s="18" t="s">
        <v>41</v>
      </c>
      <c r="I20" s="18" t="s">
        <v>43</v>
      </c>
      <c r="J20" s="18" t="s">
        <v>45</v>
      </c>
      <c r="K20" s="18" t="s">
        <v>47</v>
      </c>
    </row>
    <row r="21" ht="15.75" customHeight="1">
      <c r="A21" s="14" t="s">
        <v>84</v>
      </c>
      <c r="B21" s="11" t="s">
        <v>51</v>
      </c>
      <c r="C21" s="12">
        <v>20.0</v>
      </c>
      <c r="D21" s="12">
        <v>20.0</v>
      </c>
      <c r="E21" s="12">
        <v>20.0</v>
      </c>
      <c r="F21" s="12">
        <v>20.0</v>
      </c>
      <c r="G21" s="12">
        <v>20.0</v>
      </c>
      <c r="H21" s="12">
        <v>20.0</v>
      </c>
      <c r="I21" s="11">
        <f t="shared" ref="I21:I25" si="5">IF(AND(G21&lt;&gt;"",H21&lt;&gt;""),G21*H21,"")</f>
        <v>400</v>
      </c>
      <c r="J21" s="13" t="str">
        <f t="shared" ref="J21:J25" si="6">IF(H21="","",IF(H21&gt;=VALUE(LEFT(MID(B21,FIND("-",B21)+1,2),2)),"✓",""))</f>
        <v>✓</v>
      </c>
      <c r="K21" s="10"/>
    </row>
    <row r="22" ht="15.75" customHeight="1">
      <c r="A22" s="10" t="s">
        <v>71</v>
      </c>
      <c r="B22" s="11" t="s">
        <v>51</v>
      </c>
      <c r="C22" s="12">
        <v>135.0</v>
      </c>
      <c r="D22" s="12">
        <v>24.0</v>
      </c>
      <c r="E22" s="12">
        <v>135.0</v>
      </c>
      <c r="F22" s="12">
        <v>16.0</v>
      </c>
      <c r="G22" s="12">
        <v>135.0</v>
      </c>
      <c r="H22" s="12">
        <v>13.0</v>
      </c>
      <c r="I22" s="11">
        <f t="shared" si="5"/>
        <v>1755</v>
      </c>
      <c r="J22" s="13" t="str">
        <f t="shared" si="6"/>
        <v>✓</v>
      </c>
      <c r="K22" s="10"/>
    </row>
    <row r="23" ht="15.75" customHeight="1">
      <c r="A23" s="10" t="s">
        <v>72</v>
      </c>
      <c r="B23" s="11" t="s">
        <v>73</v>
      </c>
      <c r="C23" s="12">
        <v>65.0</v>
      </c>
      <c r="D23" s="12">
        <v>12.0</v>
      </c>
      <c r="E23" s="12">
        <v>65.0</v>
      </c>
      <c r="F23" s="12">
        <v>12.0</v>
      </c>
      <c r="G23" s="12">
        <v>65.0</v>
      </c>
      <c r="H23" s="12">
        <v>11.0</v>
      </c>
      <c r="I23" s="11">
        <f t="shared" si="5"/>
        <v>715</v>
      </c>
      <c r="J23" s="13" t="str">
        <f t="shared" si="6"/>
        <v/>
      </c>
      <c r="K23" s="10"/>
    </row>
    <row r="24" ht="15.75" customHeight="1">
      <c r="A24" s="10" t="s">
        <v>74</v>
      </c>
      <c r="B24" s="11" t="s">
        <v>75</v>
      </c>
      <c r="C24" s="12">
        <v>50.0</v>
      </c>
      <c r="D24" s="17"/>
      <c r="E24" s="17"/>
      <c r="F24" s="17"/>
      <c r="G24" s="17"/>
      <c r="H24" s="17"/>
      <c r="I24" s="11" t="str">
        <f t="shared" si="5"/>
        <v/>
      </c>
      <c r="J24" s="13" t="str">
        <f t="shared" si="6"/>
        <v/>
      </c>
      <c r="K24" s="10"/>
    </row>
    <row r="25" ht="15.75" customHeight="1">
      <c r="A25" s="10" t="s">
        <v>76</v>
      </c>
      <c r="B25" s="11" t="s">
        <v>51</v>
      </c>
      <c r="C25" s="12">
        <v>110.0</v>
      </c>
      <c r="D25" s="12">
        <v>12.0</v>
      </c>
      <c r="E25" s="12">
        <v>110.0</v>
      </c>
      <c r="F25" s="12">
        <v>12.0</v>
      </c>
      <c r="G25" s="12">
        <v>110.0</v>
      </c>
      <c r="H25" s="12">
        <v>8.0</v>
      </c>
      <c r="I25" s="11">
        <f t="shared" si="5"/>
        <v>880</v>
      </c>
      <c r="J25" s="13" t="str">
        <f t="shared" si="6"/>
        <v/>
      </c>
      <c r="K25" s="10"/>
    </row>
    <row r="26" ht="15.75" customHeight="1"/>
    <row r="27" ht="15.75" customHeight="1"/>
    <row r="28" ht="15.75" customHeight="1">
      <c r="A28" s="15" t="s">
        <v>77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K1"/>
    <mergeCell ref="A3:K3"/>
    <mergeCell ref="A11:K11"/>
    <mergeCell ref="A19:K19"/>
    <mergeCell ref="A28:K28"/>
  </mergeCell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4.0"/>
    <col customWidth="1" min="3" max="8" width="9.0"/>
    <col customWidth="1" min="9" max="9" width="12.0"/>
    <col customWidth="1" min="10" max="10" width="9.0"/>
    <col customWidth="1" min="11" max="11" width="30.0"/>
    <col customWidth="1" min="12" max="26" width="8.71"/>
  </cols>
  <sheetData>
    <row r="1" ht="24.0" customHeight="1">
      <c r="A1" s="3" t="s">
        <v>87</v>
      </c>
      <c r="B1" s="5"/>
      <c r="C1" s="5"/>
      <c r="D1" s="5"/>
      <c r="E1" s="5"/>
      <c r="F1" s="5"/>
      <c r="G1" s="5"/>
      <c r="H1" s="5"/>
      <c r="I1" s="5"/>
      <c r="J1" s="5"/>
      <c r="K1" s="7"/>
    </row>
    <row r="3" ht="15.0" customHeight="1">
      <c r="A3" s="8" t="s">
        <v>7</v>
      </c>
      <c r="B3" s="5"/>
      <c r="C3" s="5"/>
      <c r="D3" s="5"/>
      <c r="E3" s="5"/>
      <c r="F3" s="5"/>
      <c r="G3" s="5"/>
      <c r="H3" s="5"/>
      <c r="I3" s="5"/>
      <c r="J3" s="5"/>
      <c r="K3" s="7"/>
    </row>
    <row r="4">
      <c r="A4" s="18" t="s">
        <v>27</v>
      </c>
      <c r="B4" s="18" t="s">
        <v>31</v>
      </c>
      <c r="C4" s="18" t="s">
        <v>33</v>
      </c>
      <c r="D4" s="18" t="s">
        <v>34</v>
      </c>
      <c r="E4" s="18" t="s">
        <v>36</v>
      </c>
      <c r="F4" s="18" t="s">
        <v>38</v>
      </c>
      <c r="G4" s="18" t="s">
        <v>39</v>
      </c>
      <c r="H4" s="18" t="s">
        <v>41</v>
      </c>
      <c r="I4" s="18" t="s">
        <v>43</v>
      </c>
      <c r="J4" s="18" t="s">
        <v>45</v>
      </c>
      <c r="K4" s="18" t="s">
        <v>47</v>
      </c>
    </row>
    <row r="5">
      <c r="A5" s="10" t="s">
        <v>49</v>
      </c>
      <c r="B5" s="11" t="s">
        <v>51</v>
      </c>
      <c r="C5" s="12">
        <v>45.0</v>
      </c>
      <c r="D5" s="12">
        <v>11.0</v>
      </c>
      <c r="E5" s="12">
        <v>45.0</v>
      </c>
      <c r="F5" s="12">
        <v>10.0</v>
      </c>
      <c r="G5" s="12">
        <v>45.0</v>
      </c>
      <c r="H5" s="12">
        <v>8.0</v>
      </c>
      <c r="I5" s="11">
        <f t="shared" ref="I5:I10" si="1">IF(AND(G5&lt;&gt;"",H5&lt;&gt;""),G5*H5,"")</f>
        <v>360</v>
      </c>
      <c r="J5" s="13" t="str">
        <f t="shared" ref="J5:J10" si="2">IF(H5="","",IF(H5&gt;=VALUE(LEFT(MID(B5,FIND("-",B5)+1,2),2)),"✓",""))</f>
        <v/>
      </c>
      <c r="K5" s="10"/>
    </row>
    <row r="6">
      <c r="A6" s="10" t="s">
        <v>57</v>
      </c>
      <c r="B6" s="11" t="s">
        <v>51</v>
      </c>
      <c r="C6" s="12">
        <v>45.0</v>
      </c>
      <c r="D6" s="12">
        <v>12.0</v>
      </c>
      <c r="E6" s="12">
        <v>45.0</v>
      </c>
      <c r="F6" s="12">
        <v>12.0</v>
      </c>
      <c r="G6" s="12">
        <v>50.0</v>
      </c>
      <c r="H6" s="12">
        <v>8.0</v>
      </c>
      <c r="I6" s="11">
        <f t="shared" si="1"/>
        <v>400</v>
      </c>
      <c r="J6" s="13" t="str">
        <f t="shared" si="2"/>
        <v/>
      </c>
      <c r="K6" s="10"/>
    </row>
    <row r="7">
      <c r="A7" s="10" t="s">
        <v>58</v>
      </c>
      <c r="B7" s="11" t="s">
        <v>51</v>
      </c>
      <c r="C7" s="12">
        <v>30.0</v>
      </c>
      <c r="D7" s="12">
        <v>15.0</v>
      </c>
      <c r="E7" s="12">
        <v>30.0</v>
      </c>
      <c r="F7" s="12">
        <v>13.0</v>
      </c>
      <c r="G7" s="12">
        <v>30.0</v>
      </c>
      <c r="H7" s="12">
        <v>12.0</v>
      </c>
      <c r="I7" s="11">
        <f t="shared" si="1"/>
        <v>360</v>
      </c>
      <c r="J7" s="13" t="str">
        <f t="shared" si="2"/>
        <v>✓</v>
      </c>
      <c r="K7" s="10"/>
    </row>
    <row r="8">
      <c r="A8" s="10" t="s">
        <v>59</v>
      </c>
      <c r="B8" s="11" t="s">
        <v>60</v>
      </c>
      <c r="C8" s="12">
        <v>10.0</v>
      </c>
      <c r="D8" s="12">
        <v>15.0</v>
      </c>
      <c r="E8" s="12">
        <v>15.0</v>
      </c>
      <c r="F8" s="12">
        <v>14.0</v>
      </c>
      <c r="G8" s="12">
        <v>15.0</v>
      </c>
      <c r="H8" s="12">
        <v>12.0</v>
      </c>
      <c r="I8" s="11">
        <f t="shared" si="1"/>
        <v>180</v>
      </c>
      <c r="J8" s="13" t="str">
        <f t="shared" si="2"/>
        <v/>
      </c>
      <c r="K8" s="10"/>
    </row>
    <row r="9">
      <c r="A9" s="10" t="s">
        <v>61</v>
      </c>
      <c r="B9" s="11" t="s">
        <v>60</v>
      </c>
      <c r="C9" s="12">
        <v>25.0</v>
      </c>
      <c r="D9" s="12">
        <v>15.0</v>
      </c>
      <c r="E9" s="12">
        <v>25.0</v>
      </c>
      <c r="F9" s="12">
        <v>15.0</v>
      </c>
      <c r="G9" s="12">
        <v>25.0</v>
      </c>
      <c r="H9" s="12">
        <v>12.0</v>
      </c>
      <c r="I9" s="11">
        <f t="shared" si="1"/>
        <v>300</v>
      </c>
      <c r="J9" s="13" t="str">
        <f t="shared" si="2"/>
        <v/>
      </c>
      <c r="K9" s="10"/>
    </row>
    <row r="10">
      <c r="B10" s="11" t="s">
        <v>60</v>
      </c>
      <c r="C10" s="12">
        <v>45.0</v>
      </c>
      <c r="D10" s="12">
        <v>15.0</v>
      </c>
      <c r="E10" s="12">
        <v>45.0</v>
      </c>
      <c r="F10" s="12">
        <v>15.0</v>
      </c>
      <c r="G10" s="12">
        <v>45.0</v>
      </c>
      <c r="H10" s="12">
        <v>14.0</v>
      </c>
      <c r="I10" s="11">
        <f t="shared" si="1"/>
        <v>630</v>
      </c>
      <c r="J10" s="13" t="str">
        <f t="shared" si="2"/>
        <v/>
      </c>
    </row>
    <row r="11" ht="15.0" customHeight="1">
      <c r="A11" s="8" t="s">
        <v>17</v>
      </c>
      <c r="B11" s="5"/>
      <c r="C11" s="5"/>
      <c r="D11" s="5"/>
      <c r="E11" s="5"/>
      <c r="F11" s="5"/>
      <c r="G11" s="5"/>
      <c r="H11" s="5"/>
      <c r="I11" s="5"/>
      <c r="J11" s="5"/>
      <c r="K11" s="7"/>
    </row>
    <row r="12">
      <c r="A12" s="18" t="s">
        <v>27</v>
      </c>
      <c r="B12" s="18" t="s">
        <v>31</v>
      </c>
      <c r="C12" s="18" t="s">
        <v>33</v>
      </c>
      <c r="D12" s="18" t="s">
        <v>34</v>
      </c>
      <c r="E12" s="18" t="s">
        <v>36</v>
      </c>
      <c r="F12" s="18" t="s">
        <v>38</v>
      </c>
      <c r="G12" s="18" t="s">
        <v>39</v>
      </c>
      <c r="H12" s="18" t="s">
        <v>41</v>
      </c>
      <c r="I12" s="18" t="s">
        <v>43</v>
      </c>
      <c r="J12" s="18" t="s">
        <v>45</v>
      </c>
      <c r="K12" s="18" t="s">
        <v>47</v>
      </c>
    </row>
    <row r="13">
      <c r="A13" s="10" t="s">
        <v>62</v>
      </c>
      <c r="B13" s="11" t="s">
        <v>51</v>
      </c>
      <c r="C13" s="12">
        <v>140.0</v>
      </c>
      <c r="D13" s="12">
        <v>10.0</v>
      </c>
      <c r="E13" s="12">
        <v>140.0</v>
      </c>
      <c r="F13" s="12">
        <v>12.0</v>
      </c>
      <c r="G13" s="12">
        <v>140.0</v>
      </c>
      <c r="H13" s="12">
        <v>9.0</v>
      </c>
      <c r="I13" s="11">
        <f t="shared" ref="I13:I18" si="3">IF(AND(G13&lt;&gt;"",H13&lt;&gt;""),G13*H13,"")</f>
        <v>1260</v>
      </c>
      <c r="J13" s="13" t="str">
        <f t="shared" ref="J13:J18" si="4">IF(H13="","",IF(H13&gt;=VALUE(LEFT(MID(B13,FIND("-",B13)+1,2),2)),"✓",""))</f>
        <v/>
      </c>
      <c r="K13" s="10"/>
    </row>
    <row r="14">
      <c r="A14" s="10" t="s">
        <v>64</v>
      </c>
      <c r="B14" s="11" t="s">
        <v>51</v>
      </c>
      <c r="C14" s="12">
        <v>105.0</v>
      </c>
      <c r="D14" s="12">
        <v>12.0</v>
      </c>
      <c r="E14" s="12">
        <v>110.0</v>
      </c>
      <c r="F14" s="12">
        <v>8.0</v>
      </c>
      <c r="G14" s="12">
        <v>110.0</v>
      </c>
      <c r="H14" s="12">
        <v>8.0</v>
      </c>
      <c r="I14" s="11">
        <f t="shared" si="3"/>
        <v>880</v>
      </c>
      <c r="J14" s="13" t="str">
        <f t="shared" si="4"/>
        <v/>
      </c>
      <c r="K14" s="10"/>
    </row>
    <row r="15">
      <c r="A15" s="14" t="s">
        <v>65</v>
      </c>
      <c r="B15" s="11" t="s">
        <v>66</v>
      </c>
      <c r="C15" s="12">
        <v>40.0</v>
      </c>
      <c r="D15" s="12">
        <v>12.0</v>
      </c>
      <c r="E15" s="12">
        <v>40.0</v>
      </c>
      <c r="F15" s="12">
        <v>12.0</v>
      </c>
      <c r="G15" s="12">
        <v>40.0</v>
      </c>
      <c r="H15" s="12">
        <v>12.0</v>
      </c>
      <c r="I15" s="11">
        <f t="shared" si="3"/>
        <v>480</v>
      </c>
      <c r="J15" s="13" t="str">
        <f t="shared" si="4"/>
        <v>✓</v>
      </c>
      <c r="K15" s="10"/>
    </row>
    <row r="16">
      <c r="A16" s="10" t="s">
        <v>67</v>
      </c>
      <c r="B16" s="11" t="s">
        <v>60</v>
      </c>
      <c r="C16" s="12">
        <v>140.0</v>
      </c>
      <c r="D16" s="12">
        <v>15.0</v>
      </c>
      <c r="E16" s="12">
        <v>145.0</v>
      </c>
      <c r="F16" s="12">
        <v>13.0</v>
      </c>
      <c r="G16" s="12">
        <v>145.0</v>
      </c>
      <c r="H16" s="12">
        <v>13.0</v>
      </c>
      <c r="I16" s="11">
        <f t="shared" si="3"/>
        <v>1885</v>
      </c>
      <c r="J16" s="13" t="str">
        <f t="shared" si="4"/>
        <v/>
      </c>
      <c r="K16" s="10"/>
    </row>
    <row r="17">
      <c r="A17" s="10" t="s">
        <v>68</v>
      </c>
      <c r="B17" s="11" t="s">
        <v>69</v>
      </c>
      <c r="C17" s="12">
        <v>115.0</v>
      </c>
      <c r="D17" s="12">
        <v>15.0</v>
      </c>
      <c r="E17" s="12">
        <v>120.0</v>
      </c>
      <c r="F17" s="12">
        <v>12.0</v>
      </c>
      <c r="G17" s="12">
        <v>120.0</v>
      </c>
      <c r="H17" s="12">
        <v>15.0</v>
      </c>
      <c r="I17" s="11">
        <f t="shared" si="3"/>
        <v>1800</v>
      </c>
      <c r="J17" s="13" t="str">
        <f t="shared" si="4"/>
        <v>✓</v>
      </c>
      <c r="K17" s="10"/>
    </row>
    <row r="18">
      <c r="B18" s="11" t="s">
        <v>69</v>
      </c>
      <c r="C18" s="12">
        <v>75.0</v>
      </c>
      <c r="D18" s="12">
        <v>15.0</v>
      </c>
      <c r="E18" s="12">
        <v>80.0</v>
      </c>
      <c r="F18" s="12">
        <v>15.0</v>
      </c>
      <c r="G18" s="12">
        <v>80.0</v>
      </c>
      <c r="H18" s="12">
        <v>15.0</v>
      </c>
      <c r="I18" s="11">
        <f t="shared" si="3"/>
        <v>1200</v>
      </c>
      <c r="J18" s="13" t="str">
        <f t="shared" si="4"/>
        <v>✓</v>
      </c>
    </row>
    <row r="19" ht="15.0" customHeight="1">
      <c r="A19" s="8" t="s">
        <v>26</v>
      </c>
      <c r="B19" s="5"/>
      <c r="C19" s="5"/>
      <c r="D19" s="5"/>
      <c r="E19" s="5"/>
      <c r="F19" s="5"/>
      <c r="G19" s="5"/>
      <c r="H19" s="5"/>
      <c r="I19" s="5"/>
      <c r="J19" s="5"/>
      <c r="K19" s="7"/>
    </row>
    <row r="20">
      <c r="A20" s="18" t="s">
        <v>27</v>
      </c>
      <c r="B20" s="18" t="s">
        <v>31</v>
      </c>
      <c r="C20" s="18" t="s">
        <v>33</v>
      </c>
      <c r="D20" s="18" t="s">
        <v>34</v>
      </c>
      <c r="E20" s="18" t="s">
        <v>36</v>
      </c>
      <c r="F20" s="18" t="s">
        <v>38</v>
      </c>
      <c r="G20" s="18" t="s">
        <v>39</v>
      </c>
      <c r="H20" s="18" t="s">
        <v>41</v>
      </c>
      <c r="I20" s="18" t="s">
        <v>43</v>
      </c>
      <c r="J20" s="18" t="s">
        <v>45</v>
      </c>
      <c r="K20" s="18" t="s">
        <v>47</v>
      </c>
    </row>
    <row r="21" ht="15.75" customHeight="1">
      <c r="A21" s="14" t="s">
        <v>84</v>
      </c>
      <c r="B21" s="11" t="s">
        <v>51</v>
      </c>
      <c r="C21" s="12">
        <v>25.0</v>
      </c>
      <c r="D21" s="12">
        <v>16.0</v>
      </c>
      <c r="E21" s="12">
        <v>25.0</v>
      </c>
      <c r="F21" s="12">
        <v>18.0</v>
      </c>
      <c r="G21" s="12">
        <v>25.0</v>
      </c>
      <c r="H21" s="12">
        <v>20.0</v>
      </c>
      <c r="I21" s="11">
        <f t="shared" ref="I21:I25" si="5">IF(AND(G21&lt;&gt;"",H21&lt;&gt;""),G21*H21,"")</f>
        <v>500</v>
      </c>
      <c r="J21" s="13" t="str">
        <f t="shared" ref="J21:J25" si="6">IF(H21="","",IF(H21&gt;=VALUE(LEFT(MID(B21,FIND("-",B21)+1,2),2)),"✓",""))</f>
        <v>✓</v>
      </c>
      <c r="K21" s="10"/>
    </row>
    <row r="22" ht="15.75" customHeight="1">
      <c r="A22" s="10" t="s">
        <v>71</v>
      </c>
      <c r="B22" s="11" t="s">
        <v>51</v>
      </c>
      <c r="C22" s="12">
        <v>135.0</v>
      </c>
      <c r="D22" s="12">
        <v>20.0</v>
      </c>
      <c r="E22" s="12">
        <v>135.0</v>
      </c>
      <c r="F22" s="12">
        <v>17.0</v>
      </c>
      <c r="G22" s="12">
        <v>135.0</v>
      </c>
      <c r="H22" s="12">
        <v>16.0</v>
      </c>
      <c r="I22" s="11">
        <f t="shared" si="5"/>
        <v>2160</v>
      </c>
      <c r="J22" s="13" t="str">
        <f t="shared" si="6"/>
        <v>✓</v>
      </c>
      <c r="K22" s="10"/>
    </row>
    <row r="23" ht="15.75" customHeight="1">
      <c r="A23" s="10" t="s">
        <v>72</v>
      </c>
      <c r="B23" s="11" t="s">
        <v>73</v>
      </c>
      <c r="C23" s="12">
        <v>70.0</v>
      </c>
      <c r="D23" s="12">
        <v>8.0</v>
      </c>
      <c r="E23" s="12">
        <v>70.0</v>
      </c>
      <c r="F23" s="12">
        <v>8.0</v>
      </c>
      <c r="G23" s="12">
        <v>70.0</v>
      </c>
      <c r="H23" s="12">
        <v>8.0</v>
      </c>
      <c r="I23" s="11">
        <f t="shared" si="5"/>
        <v>560</v>
      </c>
      <c r="J23" s="13" t="str">
        <f t="shared" si="6"/>
        <v/>
      </c>
      <c r="K23" s="10"/>
    </row>
    <row r="24" ht="15.75" customHeight="1">
      <c r="A24" s="10" t="s">
        <v>74</v>
      </c>
      <c r="B24" s="11" t="s">
        <v>75</v>
      </c>
      <c r="C24" s="12">
        <v>15.0</v>
      </c>
      <c r="D24" s="12">
        <v>15.0</v>
      </c>
      <c r="E24" s="12">
        <v>15.0</v>
      </c>
      <c r="F24" s="12">
        <v>15.0</v>
      </c>
      <c r="G24" s="12">
        <v>15.0</v>
      </c>
      <c r="H24" s="12">
        <v>15.0</v>
      </c>
      <c r="I24" s="11">
        <f t="shared" si="5"/>
        <v>225</v>
      </c>
      <c r="J24" s="13" t="str">
        <f t="shared" si="6"/>
        <v>✓</v>
      </c>
      <c r="K24" s="10"/>
    </row>
    <row r="25" ht="15.75" customHeight="1">
      <c r="A25" s="10" t="s">
        <v>76</v>
      </c>
      <c r="B25" s="11" t="s">
        <v>51</v>
      </c>
      <c r="C25" s="12">
        <v>110.0</v>
      </c>
      <c r="D25" s="12">
        <v>10.0</v>
      </c>
      <c r="E25" s="12">
        <v>110.0</v>
      </c>
      <c r="F25" s="12">
        <v>9.0</v>
      </c>
      <c r="G25" s="12">
        <v>110.0</v>
      </c>
      <c r="H25" s="12">
        <v>9.0</v>
      </c>
      <c r="I25" s="11">
        <f t="shared" si="5"/>
        <v>990</v>
      </c>
      <c r="J25" s="13" t="str">
        <f t="shared" si="6"/>
        <v/>
      </c>
      <c r="K25" s="10"/>
    </row>
    <row r="26" ht="15.75" customHeight="1"/>
    <row r="27" ht="15.75" customHeight="1"/>
    <row r="28" ht="15.75" customHeight="1">
      <c r="A28" s="15" t="s">
        <v>77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K1"/>
    <mergeCell ref="A3:K3"/>
    <mergeCell ref="A11:K11"/>
    <mergeCell ref="A19:K19"/>
    <mergeCell ref="A28:K28"/>
  </mergeCells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4.0"/>
    <col customWidth="1" min="3" max="8" width="9.0"/>
    <col customWidth="1" min="9" max="9" width="12.0"/>
    <col customWidth="1" min="10" max="10" width="9.0"/>
    <col customWidth="1" min="11" max="11" width="30.0"/>
    <col customWidth="1" min="12" max="26" width="8.71"/>
  </cols>
  <sheetData>
    <row r="1" ht="24.0" customHeight="1">
      <c r="A1" s="3" t="s">
        <v>88</v>
      </c>
      <c r="B1" s="5"/>
      <c r="C1" s="5"/>
      <c r="D1" s="5"/>
      <c r="E1" s="5"/>
      <c r="F1" s="5"/>
      <c r="G1" s="5"/>
      <c r="H1" s="5"/>
      <c r="I1" s="5"/>
      <c r="J1" s="5"/>
      <c r="K1" s="7"/>
    </row>
    <row r="3" ht="15.0" customHeight="1">
      <c r="A3" s="8" t="s">
        <v>7</v>
      </c>
      <c r="B3" s="5"/>
      <c r="C3" s="5"/>
      <c r="D3" s="5"/>
      <c r="E3" s="5"/>
      <c r="F3" s="5"/>
      <c r="G3" s="5"/>
      <c r="H3" s="5"/>
      <c r="I3" s="5"/>
      <c r="J3" s="5"/>
      <c r="K3" s="7"/>
    </row>
    <row r="4">
      <c r="A4" s="18" t="s">
        <v>27</v>
      </c>
      <c r="B4" s="18" t="s">
        <v>31</v>
      </c>
      <c r="C4" s="18" t="s">
        <v>33</v>
      </c>
      <c r="D4" s="18" t="s">
        <v>34</v>
      </c>
      <c r="E4" s="18" t="s">
        <v>36</v>
      </c>
      <c r="F4" s="18" t="s">
        <v>38</v>
      </c>
      <c r="G4" s="18" t="s">
        <v>39</v>
      </c>
      <c r="H4" s="18" t="s">
        <v>41</v>
      </c>
      <c r="I4" s="18" t="s">
        <v>43</v>
      </c>
      <c r="J4" s="18" t="s">
        <v>45</v>
      </c>
      <c r="K4" s="18" t="s">
        <v>47</v>
      </c>
    </row>
    <row r="5">
      <c r="A5" s="10" t="s">
        <v>49</v>
      </c>
      <c r="B5" s="11" t="s">
        <v>51</v>
      </c>
      <c r="C5" s="12">
        <v>45.0</v>
      </c>
      <c r="D5" s="12">
        <v>12.0</v>
      </c>
      <c r="E5" s="12">
        <v>45.0</v>
      </c>
      <c r="F5" s="12">
        <v>12.0</v>
      </c>
      <c r="G5" s="12">
        <v>45.0</v>
      </c>
      <c r="H5" s="12">
        <v>8.0</v>
      </c>
      <c r="I5" s="11">
        <f t="shared" ref="I5:I10" si="1">IF(AND(G5&lt;&gt;"",H5&lt;&gt;""),G5*H5,"")</f>
        <v>360</v>
      </c>
      <c r="J5" s="13" t="str">
        <f t="shared" ref="J5:J10" si="2">IF(H5="","",IF(H5&gt;=VALUE(LEFT(MID(B5,FIND("-",B5)+1,2),2)),"✓",""))</f>
        <v/>
      </c>
      <c r="K5" s="10"/>
    </row>
    <row r="6">
      <c r="A6" s="10" t="s">
        <v>57</v>
      </c>
      <c r="B6" s="11" t="s">
        <v>51</v>
      </c>
      <c r="C6" s="12">
        <v>50.0</v>
      </c>
      <c r="D6" s="12">
        <v>10.0</v>
      </c>
      <c r="E6" s="12">
        <v>50.0</v>
      </c>
      <c r="F6" s="12">
        <v>8.0</v>
      </c>
      <c r="G6" s="12">
        <v>50.0</v>
      </c>
      <c r="H6" s="12">
        <v>9.0</v>
      </c>
      <c r="I6" s="11">
        <f t="shared" si="1"/>
        <v>450</v>
      </c>
      <c r="J6" s="13" t="str">
        <f t="shared" si="2"/>
        <v/>
      </c>
      <c r="K6" s="10"/>
    </row>
    <row r="7">
      <c r="A7" s="10" t="s">
        <v>58</v>
      </c>
      <c r="B7" s="11" t="s">
        <v>51</v>
      </c>
      <c r="C7" s="12">
        <v>30.0</v>
      </c>
      <c r="D7" s="12">
        <v>12.0</v>
      </c>
      <c r="E7" s="12">
        <v>30.0</v>
      </c>
      <c r="F7" s="12">
        <v>12.0</v>
      </c>
      <c r="G7" s="12">
        <v>30.0</v>
      </c>
      <c r="H7" s="12">
        <v>12.0</v>
      </c>
      <c r="I7" s="11">
        <f t="shared" si="1"/>
        <v>360</v>
      </c>
      <c r="J7" s="13" t="str">
        <f t="shared" si="2"/>
        <v>✓</v>
      </c>
      <c r="K7" s="10"/>
    </row>
    <row r="8">
      <c r="A8" s="10" t="s">
        <v>59</v>
      </c>
      <c r="B8" s="11" t="s">
        <v>60</v>
      </c>
      <c r="C8" s="12">
        <v>15.0</v>
      </c>
      <c r="D8" s="12">
        <v>12.0</v>
      </c>
      <c r="E8" s="12">
        <v>15.0</v>
      </c>
      <c r="F8" s="12">
        <v>12.0</v>
      </c>
      <c r="G8" s="12">
        <v>15.0</v>
      </c>
      <c r="H8" s="12">
        <v>12.0</v>
      </c>
      <c r="I8" s="11">
        <f t="shared" si="1"/>
        <v>180</v>
      </c>
      <c r="J8" s="13" t="str">
        <f t="shared" si="2"/>
        <v/>
      </c>
      <c r="K8" s="10"/>
    </row>
    <row r="9">
      <c r="A9" s="10" t="s">
        <v>61</v>
      </c>
      <c r="B9" s="11" t="s">
        <v>60</v>
      </c>
      <c r="C9" s="12">
        <v>25.0</v>
      </c>
      <c r="D9" s="12">
        <v>15.0</v>
      </c>
      <c r="E9" s="12">
        <v>25.0</v>
      </c>
      <c r="F9" s="12">
        <v>12.0</v>
      </c>
      <c r="G9" s="12">
        <v>25.0</v>
      </c>
      <c r="H9" s="12">
        <v>15.0</v>
      </c>
      <c r="I9" s="11">
        <f t="shared" si="1"/>
        <v>375</v>
      </c>
      <c r="J9" s="13" t="str">
        <f t="shared" si="2"/>
        <v>✓</v>
      </c>
      <c r="K9" s="10"/>
    </row>
    <row r="10">
      <c r="B10" s="11" t="s">
        <v>60</v>
      </c>
      <c r="C10" s="12">
        <v>45.0</v>
      </c>
      <c r="D10" s="12">
        <v>15.0</v>
      </c>
      <c r="E10" s="12">
        <v>45.0</v>
      </c>
      <c r="F10" s="12">
        <v>12.0</v>
      </c>
      <c r="G10" s="12">
        <v>45.0</v>
      </c>
      <c r="H10" s="12">
        <v>12.0</v>
      </c>
      <c r="I10" s="11">
        <f t="shared" si="1"/>
        <v>540</v>
      </c>
      <c r="J10" s="13" t="str">
        <f t="shared" si="2"/>
        <v/>
      </c>
    </row>
    <row r="11" ht="15.0" customHeight="1">
      <c r="A11" s="8" t="s">
        <v>17</v>
      </c>
      <c r="B11" s="5"/>
      <c r="C11" s="5"/>
      <c r="D11" s="5"/>
      <c r="E11" s="5"/>
      <c r="F11" s="5"/>
      <c r="G11" s="5"/>
      <c r="H11" s="5"/>
      <c r="I11" s="5"/>
      <c r="J11" s="5"/>
      <c r="K11" s="7"/>
    </row>
    <row r="12">
      <c r="A12" s="18" t="s">
        <v>27</v>
      </c>
      <c r="B12" s="18" t="s">
        <v>31</v>
      </c>
      <c r="C12" s="18" t="s">
        <v>33</v>
      </c>
      <c r="D12" s="18" t="s">
        <v>34</v>
      </c>
      <c r="E12" s="18" t="s">
        <v>36</v>
      </c>
      <c r="F12" s="18" t="s">
        <v>38</v>
      </c>
      <c r="G12" s="18" t="s">
        <v>39</v>
      </c>
      <c r="H12" s="18" t="s">
        <v>41</v>
      </c>
      <c r="I12" s="18" t="s">
        <v>43</v>
      </c>
      <c r="J12" s="18" t="s">
        <v>45</v>
      </c>
      <c r="K12" s="18" t="s">
        <v>47</v>
      </c>
    </row>
    <row r="13">
      <c r="A13" s="10" t="s">
        <v>62</v>
      </c>
      <c r="B13" s="11" t="s">
        <v>51</v>
      </c>
      <c r="C13" s="12">
        <v>140.0</v>
      </c>
      <c r="D13" s="12">
        <v>12.0</v>
      </c>
      <c r="E13" s="12">
        <v>140.0</v>
      </c>
      <c r="F13" s="12">
        <v>12.0</v>
      </c>
      <c r="G13" s="12">
        <v>145.0</v>
      </c>
      <c r="H13" s="12">
        <v>12.0</v>
      </c>
      <c r="I13" s="11">
        <f t="shared" ref="I13:I18" si="3">IF(AND(G13&lt;&gt;"",H13&lt;&gt;""),G13*H13,"")</f>
        <v>1740</v>
      </c>
      <c r="J13" s="13" t="str">
        <f t="shared" ref="J13:J18" si="4">IF(H13="","",IF(H13&gt;=VALUE(LEFT(MID(B13,FIND("-",B13)+1,2),2)),"✓",""))</f>
        <v>✓</v>
      </c>
      <c r="K13" s="10"/>
    </row>
    <row r="14">
      <c r="A14" s="10" t="s">
        <v>64</v>
      </c>
      <c r="B14" s="11" t="s">
        <v>51</v>
      </c>
      <c r="C14" s="12">
        <v>110.0</v>
      </c>
      <c r="D14" s="12">
        <v>12.0</v>
      </c>
      <c r="E14" s="12">
        <v>110.0</v>
      </c>
      <c r="F14" s="12">
        <v>9.0</v>
      </c>
      <c r="G14" s="12">
        <v>110.0</v>
      </c>
      <c r="H14" s="12">
        <v>8.0</v>
      </c>
      <c r="I14" s="11">
        <f t="shared" si="3"/>
        <v>880</v>
      </c>
      <c r="J14" s="13" t="str">
        <f t="shared" si="4"/>
        <v/>
      </c>
      <c r="K14" s="10"/>
    </row>
    <row r="15">
      <c r="A15" s="14" t="s">
        <v>65</v>
      </c>
      <c r="B15" s="11" t="s">
        <v>66</v>
      </c>
      <c r="C15" s="12">
        <v>40.0</v>
      </c>
      <c r="D15" s="12">
        <v>12.0</v>
      </c>
      <c r="E15" s="12">
        <v>40.0</v>
      </c>
      <c r="F15" s="12">
        <v>12.0</v>
      </c>
      <c r="G15" s="12">
        <v>40.0</v>
      </c>
      <c r="H15" s="12">
        <v>12.0</v>
      </c>
      <c r="I15" s="11">
        <f t="shared" si="3"/>
        <v>480</v>
      </c>
      <c r="J15" s="13" t="str">
        <f t="shared" si="4"/>
        <v>✓</v>
      </c>
      <c r="K15" s="10"/>
    </row>
    <row r="16">
      <c r="A16" s="10" t="s">
        <v>67</v>
      </c>
      <c r="B16" s="11" t="s">
        <v>60</v>
      </c>
      <c r="C16" s="12">
        <v>145.0</v>
      </c>
      <c r="D16" s="12">
        <v>15.0</v>
      </c>
      <c r="E16" s="12">
        <v>145.0</v>
      </c>
      <c r="F16" s="12">
        <v>15.0</v>
      </c>
      <c r="G16" s="12">
        <v>145.0</v>
      </c>
      <c r="H16" s="12">
        <v>15.0</v>
      </c>
      <c r="I16" s="11">
        <f t="shared" si="3"/>
        <v>2175</v>
      </c>
      <c r="J16" s="13" t="str">
        <f t="shared" si="4"/>
        <v>✓</v>
      </c>
      <c r="K16" s="10"/>
    </row>
    <row r="17">
      <c r="A17" s="10" t="s">
        <v>68</v>
      </c>
      <c r="B17" s="11" t="s">
        <v>69</v>
      </c>
      <c r="C17" s="12">
        <v>120.0</v>
      </c>
      <c r="D17" s="12">
        <v>15.0</v>
      </c>
      <c r="E17" s="12">
        <v>120.0</v>
      </c>
      <c r="F17" s="12">
        <v>14.0</v>
      </c>
      <c r="G17" s="12">
        <v>120.0</v>
      </c>
      <c r="H17" s="12">
        <v>15.0</v>
      </c>
      <c r="I17" s="11">
        <f t="shared" si="3"/>
        <v>1800</v>
      </c>
      <c r="J17" s="13" t="str">
        <f t="shared" si="4"/>
        <v>✓</v>
      </c>
      <c r="K17" s="10"/>
    </row>
    <row r="18">
      <c r="B18" s="11" t="s">
        <v>69</v>
      </c>
      <c r="C18" s="12">
        <v>80.0</v>
      </c>
      <c r="D18" s="12">
        <v>15.0</v>
      </c>
      <c r="E18" s="12">
        <v>80.0</v>
      </c>
      <c r="F18" s="12">
        <v>15.0</v>
      </c>
      <c r="G18" s="12">
        <v>80.0</v>
      </c>
      <c r="H18" s="12">
        <v>15.0</v>
      </c>
      <c r="I18" s="11">
        <f t="shared" si="3"/>
        <v>1200</v>
      </c>
      <c r="J18" s="13" t="str">
        <f t="shared" si="4"/>
        <v>✓</v>
      </c>
    </row>
    <row r="19" ht="15.0" customHeight="1">
      <c r="A19" s="8" t="s">
        <v>26</v>
      </c>
      <c r="B19" s="5"/>
      <c r="C19" s="5"/>
      <c r="D19" s="5"/>
      <c r="E19" s="5"/>
      <c r="F19" s="5"/>
      <c r="G19" s="5"/>
      <c r="H19" s="5"/>
      <c r="I19" s="5"/>
      <c r="J19" s="5"/>
      <c r="K19" s="7"/>
    </row>
    <row r="20">
      <c r="A20" s="18" t="s">
        <v>27</v>
      </c>
      <c r="B20" s="18" t="s">
        <v>31</v>
      </c>
      <c r="C20" s="18" t="s">
        <v>33</v>
      </c>
      <c r="D20" s="18" t="s">
        <v>34</v>
      </c>
      <c r="E20" s="18" t="s">
        <v>36</v>
      </c>
      <c r="F20" s="18" t="s">
        <v>38</v>
      </c>
      <c r="G20" s="18" t="s">
        <v>39</v>
      </c>
      <c r="H20" s="18" t="s">
        <v>41</v>
      </c>
      <c r="I20" s="18" t="s">
        <v>43</v>
      </c>
      <c r="J20" s="18" t="s">
        <v>45</v>
      </c>
      <c r="K20" s="18" t="s">
        <v>47</v>
      </c>
    </row>
    <row r="21" ht="15.75" customHeight="1">
      <c r="A21" s="14" t="s">
        <v>84</v>
      </c>
      <c r="B21" s="11" t="s">
        <v>51</v>
      </c>
      <c r="C21" s="12">
        <v>20.0</v>
      </c>
      <c r="D21" s="12">
        <v>20.0</v>
      </c>
      <c r="E21" s="12">
        <v>25.0</v>
      </c>
      <c r="F21" s="12">
        <v>18.0</v>
      </c>
      <c r="G21" s="12">
        <v>25.0</v>
      </c>
      <c r="H21" s="12">
        <v>20.0</v>
      </c>
      <c r="I21" s="11">
        <f t="shared" ref="I21:I25" si="5">IF(AND(G21&lt;&gt;"",H21&lt;&gt;""),G21*H21,"")</f>
        <v>500</v>
      </c>
      <c r="J21" s="13" t="str">
        <f t="shared" ref="J21:J25" si="6">IF(H21="","",IF(H21&gt;=VALUE(LEFT(MID(B21,FIND("-",B21)+1,2),2)),"✓",""))</f>
        <v>✓</v>
      </c>
      <c r="K21" s="10"/>
    </row>
    <row r="22" ht="15.75" customHeight="1">
      <c r="A22" s="10" t="s">
        <v>71</v>
      </c>
      <c r="B22" s="11" t="s">
        <v>51</v>
      </c>
      <c r="C22" s="12">
        <v>135.0</v>
      </c>
      <c r="D22" s="12">
        <v>15.0</v>
      </c>
      <c r="E22" s="12">
        <v>135.0</v>
      </c>
      <c r="F22" s="12">
        <v>15.0</v>
      </c>
      <c r="G22" s="12">
        <v>135.0</v>
      </c>
      <c r="H22" s="12">
        <v>15.0</v>
      </c>
      <c r="I22" s="11">
        <f t="shared" si="5"/>
        <v>2025</v>
      </c>
      <c r="J22" s="13" t="str">
        <f t="shared" si="6"/>
        <v>✓</v>
      </c>
      <c r="K22" s="10"/>
    </row>
    <row r="23" ht="15.75" customHeight="1">
      <c r="A23" s="10" t="s">
        <v>72</v>
      </c>
      <c r="B23" s="11" t="s">
        <v>73</v>
      </c>
      <c r="C23" s="12">
        <v>70.0</v>
      </c>
      <c r="D23" s="12">
        <v>9.0</v>
      </c>
      <c r="E23" s="12">
        <v>70.0</v>
      </c>
      <c r="F23" s="12">
        <v>10.0</v>
      </c>
      <c r="G23" s="12">
        <v>70.0</v>
      </c>
      <c r="H23" s="12">
        <v>10.0</v>
      </c>
      <c r="I23" s="11">
        <f t="shared" si="5"/>
        <v>700</v>
      </c>
      <c r="J23" s="13" t="str">
        <f t="shared" si="6"/>
        <v/>
      </c>
      <c r="K23" s="10"/>
    </row>
    <row r="24" ht="15.75" customHeight="1">
      <c r="A24" s="10" t="s">
        <v>74</v>
      </c>
      <c r="B24" s="11" t="s">
        <v>75</v>
      </c>
      <c r="C24" s="12">
        <v>15.0</v>
      </c>
      <c r="D24" s="12">
        <v>15.0</v>
      </c>
      <c r="E24" s="12">
        <v>20.0</v>
      </c>
      <c r="F24" s="12">
        <v>15.0</v>
      </c>
      <c r="G24" s="12">
        <v>20.0</v>
      </c>
      <c r="H24" s="12">
        <v>15.0</v>
      </c>
      <c r="I24" s="11">
        <f t="shared" si="5"/>
        <v>300</v>
      </c>
      <c r="J24" s="13" t="str">
        <f t="shared" si="6"/>
        <v>✓</v>
      </c>
      <c r="K24" s="10"/>
    </row>
    <row r="25" ht="15.75" customHeight="1">
      <c r="A25" s="10" t="s">
        <v>76</v>
      </c>
      <c r="B25" s="11" t="s">
        <v>51</v>
      </c>
      <c r="C25" s="12">
        <v>100.0</v>
      </c>
      <c r="D25" s="12">
        <v>15.0</v>
      </c>
      <c r="E25" s="12">
        <v>110.0</v>
      </c>
      <c r="F25" s="12">
        <v>9.0</v>
      </c>
      <c r="G25" s="12">
        <v>110.0</v>
      </c>
      <c r="H25" s="12">
        <v>8.0</v>
      </c>
      <c r="I25" s="11">
        <f t="shared" si="5"/>
        <v>880</v>
      </c>
      <c r="J25" s="13" t="str">
        <f t="shared" si="6"/>
        <v/>
      </c>
      <c r="K25" s="10"/>
    </row>
    <row r="26" ht="15.75" customHeight="1"/>
    <row r="27" ht="15.75" customHeight="1"/>
    <row r="28" ht="15.75" customHeight="1">
      <c r="A28" s="15" t="s">
        <v>77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K1"/>
    <mergeCell ref="A3:K3"/>
    <mergeCell ref="A11:K11"/>
    <mergeCell ref="A19:K19"/>
    <mergeCell ref="A28:K28"/>
  </mergeCells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4.0"/>
    <col customWidth="1" min="3" max="8" width="9.0"/>
    <col customWidth="1" min="9" max="9" width="12.0"/>
    <col customWidth="1" min="10" max="10" width="9.0"/>
    <col customWidth="1" min="11" max="11" width="30.0"/>
    <col customWidth="1" min="12" max="26" width="8.71"/>
  </cols>
  <sheetData>
    <row r="1" ht="24.0" customHeight="1">
      <c r="A1" s="3" t="s">
        <v>89</v>
      </c>
      <c r="B1" s="5"/>
      <c r="C1" s="5"/>
      <c r="D1" s="5"/>
      <c r="E1" s="5"/>
      <c r="F1" s="5"/>
      <c r="G1" s="5"/>
      <c r="H1" s="5"/>
      <c r="I1" s="5"/>
      <c r="J1" s="5"/>
      <c r="K1" s="7"/>
    </row>
    <row r="3" ht="15.0" customHeight="1">
      <c r="A3" s="8" t="s">
        <v>7</v>
      </c>
      <c r="B3" s="5"/>
      <c r="C3" s="5"/>
      <c r="D3" s="5"/>
      <c r="E3" s="5"/>
      <c r="F3" s="5"/>
      <c r="G3" s="5"/>
      <c r="H3" s="5"/>
      <c r="I3" s="5"/>
      <c r="J3" s="5"/>
      <c r="K3" s="7"/>
    </row>
    <row r="4">
      <c r="A4" s="19" t="s">
        <v>27</v>
      </c>
      <c r="B4" s="19" t="s">
        <v>31</v>
      </c>
      <c r="C4" s="19" t="s">
        <v>33</v>
      </c>
      <c r="D4" s="19" t="s">
        <v>34</v>
      </c>
      <c r="E4" s="19" t="s">
        <v>36</v>
      </c>
      <c r="F4" s="19" t="s">
        <v>38</v>
      </c>
      <c r="G4" s="19" t="s">
        <v>39</v>
      </c>
      <c r="H4" s="19" t="s">
        <v>41</v>
      </c>
      <c r="I4" s="19" t="s">
        <v>43</v>
      </c>
      <c r="J4" s="19" t="s">
        <v>45</v>
      </c>
      <c r="K4" s="19" t="s">
        <v>47</v>
      </c>
    </row>
    <row r="5">
      <c r="A5" s="10" t="s">
        <v>49</v>
      </c>
      <c r="B5" s="11" t="s">
        <v>51</v>
      </c>
      <c r="C5" s="12">
        <v>25.0</v>
      </c>
      <c r="D5" s="12">
        <v>12.0</v>
      </c>
      <c r="E5" s="12">
        <v>25.0</v>
      </c>
      <c r="F5" s="12">
        <v>12.0</v>
      </c>
      <c r="G5" s="17"/>
      <c r="H5" s="17"/>
      <c r="I5" s="11" t="str">
        <f t="shared" ref="I5:I9" si="1">IF(AND(G5&lt;&gt;"",H5&lt;&gt;""),G5*H5,"")</f>
        <v/>
      </c>
      <c r="J5" s="13" t="str">
        <f t="shared" ref="J5:J9" si="2">IF(H5="","",IF(H5&gt;=VALUE(LEFT(MID(B5,FIND("-",B5)+1,2),2)),"✓",""))</f>
        <v/>
      </c>
      <c r="K5" s="10"/>
    </row>
    <row r="6">
      <c r="A6" s="10" t="s">
        <v>57</v>
      </c>
      <c r="B6" s="11" t="s">
        <v>51</v>
      </c>
      <c r="C6" s="12">
        <v>25.0</v>
      </c>
      <c r="D6" s="12">
        <v>12.0</v>
      </c>
      <c r="E6" s="12">
        <v>25.0</v>
      </c>
      <c r="F6" s="12">
        <v>12.0</v>
      </c>
      <c r="G6" s="17"/>
      <c r="H6" s="17"/>
      <c r="I6" s="11" t="str">
        <f t="shared" si="1"/>
        <v/>
      </c>
      <c r="J6" s="13" t="str">
        <f t="shared" si="2"/>
        <v/>
      </c>
      <c r="K6" s="10"/>
    </row>
    <row r="7">
      <c r="A7" s="10" t="s">
        <v>58</v>
      </c>
      <c r="B7" s="11" t="s">
        <v>51</v>
      </c>
      <c r="C7" s="12">
        <v>15.0</v>
      </c>
      <c r="D7" s="12">
        <v>12.0</v>
      </c>
      <c r="E7" s="12">
        <v>12.0</v>
      </c>
      <c r="F7" s="12">
        <v>12.0</v>
      </c>
      <c r="G7" s="17"/>
      <c r="H7" s="17"/>
      <c r="I7" s="11" t="str">
        <f t="shared" si="1"/>
        <v/>
      </c>
      <c r="J7" s="13" t="str">
        <f t="shared" si="2"/>
        <v/>
      </c>
      <c r="K7" s="10"/>
    </row>
    <row r="8">
      <c r="A8" s="10" t="s">
        <v>59</v>
      </c>
      <c r="B8" s="11" t="s">
        <v>60</v>
      </c>
      <c r="C8" s="12">
        <v>10.0</v>
      </c>
      <c r="D8" s="12">
        <v>12.0</v>
      </c>
      <c r="E8" s="12">
        <v>10.0</v>
      </c>
      <c r="F8" s="12">
        <v>12.0</v>
      </c>
      <c r="G8" s="17"/>
      <c r="H8" s="17"/>
      <c r="I8" s="11" t="str">
        <f t="shared" si="1"/>
        <v/>
      </c>
      <c r="J8" s="13" t="str">
        <f t="shared" si="2"/>
        <v/>
      </c>
      <c r="K8" s="10"/>
    </row>
    <row r="9">
      <c r="A9" s="10" t="s">
        <v>61</v>
      </c>
      <c r="B9" s="11" t="s">
        <v>60</v>
      </c>
      <c r="C9" s="12">
        <v>15.0</v>
      </c>
      <c r="D9" s="12">
        <v>12.0</v>
      </c>
      <c r="E9" s="12">
        <v>15.0</v>
      </c>
      <c r="F9" s="12">
        <v>12.0</v>
      </c>
      <c r="G9" s="17"/>
      <c r="H9" s="17"/>
      <c r="I9" s="11" t="str">
        <f t="shared" si="1"/>
        <v/>
      </c>
      <c r="J9" s="13" t="str">
        <f t="shared" si="2"/>
        <v/>
      </c>
      <c r="K9" s="10"/>
    </row>
    <row r="10">
      <c r="C10" s="12">
        <v>25.0</v>
      </c>
      <c r="D10" s="20">
        <v>12.0</v>
      </c>
      <c r="E10" s="20">
        <v>25.0</v>
      </c>
      <c r="F10" s="20">
        <v>12.0</v>
      </c>
    </row>
    <row r="11" ht="15.0" customHeight="1">
      <c r="A11" s="8" t="s">
        <v>17</v>
      </c>
      <c r="B11" s="5"/>
      <c r="C11" s="5"/>
      <c r="D11" s="5"/>
      <c r="E11" s="5"/>
      <c r="F11" s="5"/>
      <c r="G11" s="5"/>
      <c r="H11" s="5"/>
      <c r="I11" s="5"/>
      <c r="J11" s="5"/>
      <c r="K11" s="7"/>
    </row>
    <row r="12">
      <c r="A12" s="19" t="s">
        <v>27</v>
      </c>
      <c r="B12" s="19" t="s">
        <v>31</v>
      </c>
      <c r="C12" s="19" t="s">
        <v>33</v>
      </c>
      <c r="D12" s="19" t="s">
        <v>34</v>
      </c>
      <c r="E12" s="19" t="s">
        <v>36</v>
      </c>
      <c r="F12" s="19" t="s">
        <v>38</v>
      </c>
      <c r="G12" s="19" t="s">
        <v>39</v>
      </c>
      <c r="H12" s="19" t="s">
        <v>41</v>
      </c>
      <c r="I12" s="19" t="s">
        <v>43</v>
      </c>
      <c r="J12" s="19" t="s">
        <v>45</v>
      </c>
      <c r="K12" s="19" t="s">
        <v>47</v>
      </c>
    </row>
    <row r="13">
      <c r="A13" s="10" t="s">
        <v>62</v>
      </c>
      <c r="B13" s="11" t="s">
        <v>51</v>
      </c>
      <c r="C13" s="12">
        <v>75.0</v>
      </c>
      <c r="D13" s="12">
        <v>15.0</v>
      </c>
      <c r="E13" s="12">
        <v>75.0</v>
      </c>
      <c r="F13" s="12">
        <v>15.0</v>
      </c>
      <c r="G13" s="17"/>
      <c r="H13" s="17"/>
      <c r="I13" s="11" t="str">
        <f t="shared" ref="I13:I18" si="3">IF(AND(G13&lt;&gt;"",H13&lt;&gt;""),G13*H13,"")</f>
        <v/>
      </c>
      <c r="J13" s="13" t="str">
        <f t="shared" ref="J13:J18" si="4">IF(H13="","",IF(H13&gt;=VALUE(LEFT(MID(B13,FIND("-",B13)+1,2),2)),"✓",""))</f>
        <v/>
      </c>
      <c r="K13" s="10"/>
    </row>
    <row r="14">
      <c r="A14" s="10" t="s">
        <v>64</v>
      </c>
      <c r="B14" s="11" t="s">
        <v>51</v>
      </c>
      <c r="C14" s="12">
        <v>60.0</v>
      </c>
      <c r="D14" s="12">
        <v>12.0</v>
      </c>
      <c r="E14" s="12">
        <v>60.0</v>
      </c>
      <c r="F14" s="12">
        <v>12.0</v>
      </c>
      <c r="G14" s="17"/>
      <c r="H14" s="17"/>
      <c r="I14" s="11" t="str">
        <f t="shared" si="3"/>
        <v/>
      </c>
      <c r="J14" s="13" t="str">
        <f t="shared" si="4"/>
        <v/>
      </c>
      <c r="K14" s="10"/>
    </row>
    <row r="15">
      <c r="A15" s="14" t="s">
        <v>65</v>
      </c>
      <c r="B15" s="11" t="s">
        <v>66</v>
      </c>
      <c r="C15" s="12">
        <v>20.0</v>
      </c>
      <c r="D15" s="12">
        <v>12.0</v>
      </c>
      <c r="E15" s="12">
        <v>20.0</v>
      </c>
      <c r="F15" s="12">
        <v>12.0</v>
      </c>
      <c r="G15" s="17"/>
      <c r="H15" s="17"/>
      <c r="I15" s="11" t="str">
        <f t="shared" si="3"/>
        <v/>
      </c>
      <c r="J15" s="13" t="str">
        <f t="shared" si="4"/>
        <v/>
      </c>
      <c r="K15" s="10"/>
    </row>
    <row r="16">
      <c r="A16" s="10" t="s">
        <v>67</v>
      </c>
      <c r="B16" s="11" t="s">
        <v>60</v>
      </c>
      <c r="C16" s="12">
        <v>75.0</v>
      </c>
      <c r="D16" s="12">
        <v>15.0</v>
      </c>
      <c r="E16" s="12">
        <v>75.0</v>
      </c>
      <c r="F16" s="12">
        <v>15.0</v>
      </c>
      <c r="G16" s="17"/>
      <c r="H16" s="17"/>
      <c r="I16" s="11" t="str">
        <f t="shared" si="3"/>
        <v/>
      </c>
      <c r="J16" s="13" t="str">
        <f t="shared" si="4"/>
        <v/>
      </c>
      <c r="K16" s="10"/>
    </row>
    <row r="17">
      <c r="A17" s="10" t="s">
        <v>68</v>
      </c>
      <c r="B17" s="11" t="s">
        <v>69</v>
      </c>
      <c r="C17" s="12">
        <v>60.0</v>
      </c>
      <c r="D17" s="12">
        <v>15.0</v>
      </c>
      <c r="E17" s="12">
        <v>60.0</v>
      </c>
      <c r="F17" s="12">
        <v>15.0</v>
      </c>
      <c r="G17" s="12"/>
      <c r="H17" s="12"/>
      <c r="I17" s="11" t="str">
        <f t="shared" si="3"/>
        <v/>
      </c>
      <c r="J17" s="13" t="str">
        <f t="shared" si="4"/>
        <v/>
      </c>
      <c r="K17" s="10"/>
    </row>
    <row r="18">
      <c r="B18" s="11" t="s">
        <v>69</v>
      </c>
      <c r="C18" s="12">
        <v>40.0</v>
      </c>
      <c r="D18" s="12">
        <v>15.0</v>
      </c>
      <c r="E18" s="12">
        <v>40.0</v>
      </c>
      <c r="F18" s="12">
        <v>15.0</v>
      </c>
      <c r="G18" s="12"/>
      <c r="H18" s="12"/>
      <c r="I18" s="11" t="str">
        <f t="shared" si="3"/>
        <v/>
      </c>
      <c r="J18" s="13" t="str">
        <f t="shared" si="4"/>
        <v/>
      </c>
    </row>
    <row r="19" ht="15.0" customHeight="1">
      <c r="A19" s="8" t="s">
        <v>26</v>
      </c>
      <c r="B19" s="5"/>
      <c r="C19" s="5"/>
      <c r="D19" s="5"/>
      <c r="E19" s="5"/>
      <c r="F19" s="5"/>
      <c r="G19" s="5"/>
      <c r="H19" s="5"/>
      <c r="I19" s="5"/>
      <c r="J19" s="5"/>
      <c r="K19" s="7"/>
    </row>
    <row r="20">
      <c r="A20" s="19" t="s">
        <v>27</v>
      </c>
      <c r="B20" s="19" t="s">
        <v>31</v>
      </c>
      <c r="C20" s="19" t="s">
        <v>33</v>
      </c>
      <c r="D20" s="19" t="s">
        <v>34</v>
      </c>
      <c r="E20" s="19" t="s">
        <v>36</v>
      </c>
      <c r="F20" s="19" t="s">
        <v>38</v>
      </c>
      <c r="G20" s="19" t="s">
        <v>39</v>
      </c>
      <c r="H20" s="19" t="s">
        <v>41</v>
      </c>
      <c r="I20" s="19" t="s">
        <v>43</v>
      </c>
      <c r="J20" s="19" t="s">
        <v>45</v>
      </c>
      <c r="K20" s="19" t="s">
        <v>47</v>
      </c>
    </row>
    <row r="21" ht="15.75" customHeight="1">
      <c r="A21" s="14" t="s">
        <v>84</v>
      </c>
      <c r="B21" s="11" t="s">
        <v>51</v>
      </c>
      <c r="C21" s="12">
        <v>15.0</v>
      </c>
      <c r="D21" s="12">
        <v>16.0</v>
      </c>
      <c r="E21" s="12">
        <v>15.0</v>
      </c>
      <c r="F21" s="12">
        <v>15.0</v>
      </c>
      <c r="G21" s="17"/>
      <c r="H21" s="17"/>
      <c r="I21" s="11" t="str">
        <f t="shared" ref="I21:I25" si="5">IF(AND(G21&lt;&gt;"",H21&lt;&gt;""),G21*H21,"")</f>
        <v/>
      </c>
      <c r="J21" s="13" t="str">
        <f t="shared" ref="J21:J25" si="6">IF(H21="","",IF(H21&gt;=VALUE(LEFT(MID(B21,FIND("-",B21)+1,2),2)),"✓",""))</f>
        <v/>
      </c>
      <c r="K21" s="10"/>
    </row>
    <row r="22" ht="15.75" customHeight="1">
      <c r="A22" s="10" t="s">
        <v>71</v>
      </c>
      <c r="B22" s="11" t="s">
        <v>51</v>
      </c>
      <c r="C22" s="12">
        <v>35.0</v>
      </c>
      <c r="D22" s="12">
        <v>12.0</v>
      </c>
      <c r="E22" s="12">
        <v>35.0</v>
      </c>
      <c r="F22" s="12">
        <v>12.0</v>
      </c>
      <c r="G22" s="17"/>
      <c r="H22" s="17"/>
      <c r="I22" s="11" t="str">
        <f t="shared" si="5"/>
        <v/>
      </c>
      <c r="J22" s="13" t="str">
        <f t="shared" si="6"/>
        <v/>
      </c>
      <c r="K22" s="10"/>
    </row>
    <row r="23" ht="15.75" customHeight="1">
      <c r="A23" s="10" t="s">
        <v>72</v>
      </c>
      <c r="B23" s="11" t="s">
        <v>73</v>
      </c>
      <c r="C23" s="12">
        <v>40.0</v>
      </c>
      <c r="D23" s="12">
        <v>12.0</v>
      </c>
      <c r="E23" s="12">
        <v>40.0</v>
      </c>
      <c r="F23" s="12">
        <v>12.0</v>
      </c>
      <c r="G23" s="17"/>
      <c r="H23" s="17"/>
      <c r="I23" s="11" t="str">
        <f t="shared" si="5"/>
        <v/>
      </c>
      <c r="J23" s="13" t="str">
        <f t="shared" si="6"/>
        <v/>
      </c>
      <c r="K23" s="10"/>
    </row>
    <row r="24" ht="15.75" customHeight="1">
      <c r="A24" s="10" t="s">
        <v>74</v>
      </c>
      <c r="B24" s="11" t="s">
        <v>75</v>
      </c>
      <c r="C24" s="12">
        <v>10.0</v>
      </c>
      <c r="D24" s="12">
        <v>12.0</v>
      </c>
      <c r="E24" s="12">
        <v>10.0</v>
      </c>
      <c r="F24" s="17"/>
      <c r="G24" s="17"/>
      <c r="H24" s="17"/>
      <c r="I24" s="11" t="str">
        <f t="shared" si="5"/>
        <v/>
      </c>
      <c r="J24" s="13" t="str">
        <f t="shared" si="6"/>
        <v/>
      </c>
      <c r="K24" s="10"/>
    </row>
    <row r="25" ht="15.75" customHeight="1">
      <c r="A25" s="10" t="s">
        <v>76</v>
      </c>
      <c r="B25" s="11" t="s">
        <v>51</v>
      </c>
      <c r="C25" s="12">
        <v>60.0</v>
      </c>
      <c r="D25" s="12">
        <v>12.0</v>
      </c>
      <c r="E25" s="12">
        <v>60.0</v>
      </c>
      <c r="F25" s="17"/>
      <c r="G25" s="17"/>
      <c r="H25" s="17"/>
      <c r="I25" s="11" t="str">
        <f t="shared" si="5"/>
        <v/>
      </c>
      <c r="J25" s="13" t="str">
        <f t="shared" si="6"/>
        <v/>
      </c>
      <c r="K25" s="10"/>
    </row>
    <row r="26" ht="15.75" customHeight="1"/>
    <row r="27" ht="15.75" customHeight="1"/>
    <row r="28" ht="15.75" customHeight="1">
      <c r="A28" s="15" t="s">
        <v>77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K1"/>
    <mergeCell ref="A3:K3"/>
    <mergeCell ref="A11:K11"/>
    <mergeCell ref="A19:K19"/>
    <mergeCell ref="A28:K28"/>
  </mergeCells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12.0"/>
    <col customWidth="1" min="2" max="2" width="36.0"/>
    <col customWidth="1" min="3" max="14" width="8.0"/>
    <col customWidth="1" min="15" max="15" width="11.0"/>
    <col customWidth="1" min="16" max="26" width="8.71"/>
  </cols>
  <sheetData>
    <row r="1" ht="17.25" customHeight="1">
      <c r="A1" s="3" t="s">
        <v>90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7"/>
    </row>
    <row r="2">
      <c r="A2" s="21" t="s">
        <v>91</v>
      </c>
      <c r="B2" s="21" t="s">
        <v>27</v>
      </c>
      <c r="C2" s="21" t="s">
        <v>92</v>
      </c>
      <c r="D2" s="21" t="s">
        <v>93</v>
      </c>
      <c r="E2" s="21" t="s">
        <v>94</v>
      </c>
      <c r="F2" s="21" t="s">
        <v>95</v>
      </c>
      <c r="G2" s="21" t="s">
        <v>96</v>
      </c>
      <c r="H2" s="21" t="s">
        <v>97</v>
      </c>
      <c r="I2" s="21" t="s">
        <v>98</v>
      </c>
      <c r="J2" s="21" t="s">
        <v>99</v>
      </c>
      <c r="K2" s="21" t="s">
        <v>100</v>
      </c>
      <c r="L2" s="21" t="s">
        <v>101</v>
      </c>
      <c r="M2" s="21" t="s">
        <v>102</v>
      </c>
      <c r="N2" s="21" t="s">
        <v>103</v>
      </c>
      <c r="O2" s="21" t="s">
        <v>104</v>
      </c>
    </row>
    <row r="3">
      <c r="A3" s="22" t="s">
        <v>7</v>
      </c>
      <c r="B3" s="10" t="s">
        <v>49</v>
      </c>
      <c r="C3" s="23" t="str">
        <f>IF('Wk01'!I4="","",'Wk01'!I4)</f>
        <v>Top Set Vol</v>
      </c>
      <c r="D3" s="23" t="str">
        <f>IF('Wk02'!I4="","",'Wk02'!I4)</f>
        <v>Top Set Vol</v>
      </c>
      <c r="E3" s="23" t="str">
        <f>IF('Wk03'!I4="","",'Wk03'!I4)</f>
        <v>Top Set Vol</v>
      </c>
      <c r="F3" s="23" t="str">
        <f>IF('Wk04'!I4="","",'Wk04'!I4)</f>
        <v>Top Set Vol</v>
      </c>
      <c r="G3" s="26" t="str">
        <f>IF('Wk05'!I4="","",'Wk05'!I4)</f>
        <v>Top Set Vol</v>
      </c>
      <c r="H3" s="26" t="str">
        <f>IF('Wk06'!I4="","",'Wk06'!I4)</f>
        <v>Top Set Vol</v>
      </c>
      <c r="I3" s="26" t="str">
        <f>IF('Wk07'!I4="","",'Wk07'!I4)</f>
        <v>Top Set Vol</v>
      </c>
      <c r="J3" s="26" t="str">
        <f>IF('Wk08'!I4="","",'Wk08'!I4)</f>
        <v>Top Set Vol</v>
      </c>
      <c r="K3" s="28" t="str">
        <f>IF('Wk09'!I4="","",'Wk09'!I4)</f>
        <v>Top Set Vol</v>
      </c>
      <c r="L3" s="28" t="str">
        <f>IF('Wk10'!I4="","",'Wk10'!I4)</f>
        <v>Top Set Vol</v>
      </c>
      <c r="M3" s="28" t="str">
        <f>IF('Wk11'!I4="","",'Wk11'!I4)</f>
        <v>Top Set Vol</v>
      </c>
      <c r="N3" s="29" t="str">
        <f>IF('Wk12'!I4="","",'Wk12'!I4)</f>
        <v>Top Set Vol</v>
      </c>
      <c r="O3" s="31">
        <f t="shared" ref="O3:O7" si="1">IFERROR(MAX(C3:N3),"")</f>
        <v>0</v>
      </c>
    </row>
    <row r="4">
      <c r="A4" s="22" t="s">
        <v>7</v>
      </c>
      <c r="B4" s="10" t="s">
        <v>57</v>
      </c>
      <c r="C4" s="23">
        <f>IF('Wk01'!I5="","",'Wk01'!I5)</f>
        <v>350</v>
      </c>
      <c r="D4" s="23">
        <f>IF('Wk02'!I5="","",'Wk02'!I5)</f>
        <v>320</v>
      </c>
      <c r="E4" s="23">
        <f>IF('Wk03'!I5="","",'Wk03'!I5)</f>
        <v>360</v>
      </c>
      <c r="F4" s="23">
        <f>IF('Wk04'!I5="","",'Wk04'!I5)</f>
        <v>360</v>
      </c>
      <c r="G4" s="26">
        <f>IF('Wk05'!I5="","",'Wk05'!I5)</f>
        <v>360</v>
      </c>
      <c r="H4" s="26">
        <f>IF('Wk06'!I5="","",'Wk06'!I5)</f>
        <v>360</v>
      </c>
      <c r="I4" s="26">
        <f>IF('Wk07'!I5="","",'Wk07'!I5)</f>
        <v>360</v>
      </c>
      <c r="J4" s="26">
        <f>IF('Wk08'!I5="","",'Wk08'!I5)</f>
        <v>405</v>
      </c>
      <c r="K4" s="28">
        <f>IF('Wk09'!I5="","",'Wk09'!I5)</f>
        <v>360</v>
      </c>
      <c r="L4" s="28">
        <f>IF('Wk10'!I5="","",'Wk10'!I5)</f>
        <v>360</v>
      </c>
      <c r="M4" s="28">
        <f>IF('Wk11'!I5="","",'Wk11'!I5)</f>
        <v>360</v>
      </c>
      <c r="N4" s="29" t="str">
        <f>IF('Wk12'!I5="","",'Wk12'!I5)</f>
        <v/>
      </c>
      <c r="O4" s="31">
        <f t="shared" si="1"/>
        <v>405</v>
      </c>
    </row>
    <row r="5">
      <c r="A5" s="22" t="s">
        <v>7</v>
      </c>
      <c r="B5" s="10" t="s">
        <v>58</v>
      </c>
      <c r="C5" s="23">
        <f>IF('Wk01'!I6="","",'Wk01'!I6)</f>
        <v>420</v>
      </c>
      <c r="D5" s="23">
        <f>IF('Wk02'!I6="","",'Wk02'!I6)</f>
        <v>440</v>
      </c>
      <c r="E5" s="23">
        <f>IF('Wk03'!I6="","",'Wk03'!I6)</f>
        <v>480</v>
      </c>
      <c r="F5" s="23">
        <f>IF('Wk04'!I6="","",'Wk04'!I6)</f>
        <v>480</v>
      </c>
      <c r="G5" s="26">
        <f>IF('Wk05'!I6="","",'Wk05'!I6)</f>
        <v>495</v>
      </c>
      <c r="H5" s="26">
        <f>IF('Wk06'!I6="","",'Wk06'!I6)</f>
        <v>400</v>
      </c>
      <c r="I5" s="26">
        <f>IF('Wk07'!I6="","",'Wk07'!I6)</f>
        <v>400</v>
      </c>
      <c r="J5" s="26">
        <f>IF('Wk08'!I6="","",'Wk08'!I6)</f>
        <v>400</v>
      </c>
      <c r="K5" s="28">
        <f>IF('Wk09'!I6="","",'Wk09'!I6)</f>
        <v>405</v>
      </c>
      <c r="L5" s="28">
        <f>IF('Wk10'!I6="","",'Wk10'!I6)</f>
        <v>400</v>
      </c>
      <c r="M5" s="28">
        <f>IF('Wk11'!I6="","",'Wk11'!I6)</f>
        <v>450</v>
      </c>
      <c r="N5" s="29" t="str">
        <f>IF('Wk12'!I6="","",'Wk12'!I6)</f>
        <v/>
      </c>
      <c r="O5" s="31">
        <f t="shared" si="1"/>
        <v>495</v>
      </c>
    </row>
    <row r="6">
      <c r="A6" s="22" t="s">
        <v>7</v>
      </c>
      <c r="B6" s="10" t="s">
        <v>59</v>
      </c>
      <c r="C6" s="23">
        <f>IF('Wk01'!I7="","",'Wk01'!I7)</f>
        <v>250</v>
      </c>
      <c r="D6" s="23">
        <f>IF('Wk02'!I7="","",'Wk02'!I7)</f>
        <v>300</v>
      </c>
      <c r="E6" s="23">
        <f>IF('Wk03'!I7="","",'Wk03'!I7)</f>
        <v>280</v>
      </c>
      <c r="F6" s="23">
        <f>IF('Wk04'!I7="","",'Wk04'!I7)</f>
        <v>300</v>
      </c>
      <c r="G6" s="26">
        <f>IF('Wk05'!I7="","",'Wk05'!I7)</f>
        <v>300</v>
      </c>
      <c r="H6" s="26">
        <f>IF('Wk06'!I7="","",'Wk06'!I7)</f>
        <v>300</v>
      </c>
      <c r="I6" s="26">
        <f>IF('Wk07'!I7="","",'Wk07'!I7)</f>
        <v>240</v>
      </c>
      <c r="J6" s="26">
        <f>IF('Wk08'!I7="","",'Wk08'!I7)</f>
        <v>270</v>
      </c>
      <c r="K6" s="28">
        <f>IF('Wk09'!I7="","",'Wk09'!I7)</f>
        <v>240</v>
      </c>
      <c r="L6" s="28">
        <f>IF('Wk10'!I7="","",'Wk10'!I7)</f>
        <v>360</v>
      </c>
      <c r="M6" s="28">
        <f>IF('Wk11'!I7="","",'Wk11'!I7)</f>
        <v>360</v>
      </c>
      <c r="N6" s="29" t="str">
        <f>IF('Wk12'!I7="","",'Wk12'!I7)</f>
        <v/>
      </c>
      <c r="O6" s="31">
        <f t="shared" si="1"/>
        <v>360</v>
      </c>
    </row>
    <row r="7">
      <c r="A7" s="22" t="s">
        <v>7</v>
      </c>
      <c r="B7" s="10" t="s">
        <v>61</v>
      </c>
      <c r="C7" s="23">
        <f>IF('Wk01'!I8="","",'Wk01'!I8)</f>
        <v>225</v>
      </c>
      <c r="D7" s="23">
        <f>IF('Wk02'!I8="","",'Wk02'!I8)</f>
        <v>225</v>
      </c>
      <c r="E7" s="23">
        <f>IF('Wk03'!I8="","",'Wk03'!I8)</f>
        <v>180</v>
      </c>
      <c r="F7" s="23">
        <f>IF('Wk04'!I8="","",'Wk04'!I8)</f>
        <v>225</v>
      </c>
      <c r="G7" s="26">
        <f>IF('Wk05'!I8="","",'Wk05'!I8)</f>
        <v>225</v>
      </c>
      <c r="H7" s="26">
        <f>IF('Wk06'!I8="","",'Wk06'!I8)</f>
        <v>225</v>
      </c>
      <c r="I7" s="26">
        <f>IF('Wk07'!I8="","",'Wk07'!I8)</f>
        <v>225</v>
      </c>
      <c r="J7" s="26">
        <f>IF('Wk08'!I8="","",'Wk08'!I8)</f>
        <v>150</v>
      </c>
      <c r="K7" s="28">
        <f>IF('Wk09'!I8="","",'Wk09'!I8)</f>
        <v>120</v>
      </c>
      <c r="L7" s="28">
        <f>IF('Wk10'!I8="","",'Wk10'!I8)</f>
        <v>180</v>
      </c>
      <c r="M7" s="28">
        <f>IF('Wk11'!I8="","",'Wk11'!I8)</f>
        <v>180</v>
      </c>
      <c r="N7" s="29" t="str">
        <f>IF('Wk12'!I8="","",'Wk12'!I8)</f>
        <v/>
      </c>
      <c r="O7" s="31">
        <f t="shared" si="1"/>
        <v>225</v>
      </c>
    </row>
    <row r="9">
      <c r="A9" s="22" t="s">
        <v>17</v>
      </c>
      <c r="B9" s="10" t="s">
        <v>111</v>
      </c>
      <c r="C9" s="23" t="str">
        <f>IF('Wk01'!I11="","",'Wk01'!I11)</f>
        <v/>
      </c>
      <c r="D9" s="23" t="str">
        <f>IF('Wk02'!I11="","",'Wk02'!I11)</f>
        <v/>
      </c>
      <c r="E9" s="23" t="str">
        <f>IF('Wk03'!I11="","",'Wk03'!I11)</f>
        <v/>
      </c>
      <c r="F9" s="23" t="str">
        <f>IF('Wk04'!I11="","",'Wk04'!I11)</f>
        <v/>
      </c>
      <c r="G9" s="26" t="str">
        <f>IF('Wk05'!I11="","",'Wk05'!I11)</f>
        <v/>
      </c>
      <c r="H9" s="26" t="str">
        <f>IF('Wk06'!I11="","",'Wk06'!I11)</f>
        <v/>
      </c>
      <c r="I9" s="26" t="str">
        <f>IF('Wk07'!I11="","",'Wk07'!I11)</f>
        <v/>
      </c>
      <c r="J9" s="26" t="str">
        <f>IF('Wk08'!I11="","",'Wk08'!I11)</f>
        <v/>
      </c>
      <c r="K9" s="28" t="str">
        <f>IF('Wk09'!I11="","",'Wk09'!I11)</f>
        <v/>
      </c>
      <c r="L9" s="28" t="str">
        <f>IF('Wk10'!I11="","",'Wk10'!I11)</f>
        <v/>
      </c>
      <c r="M9" s="28" t="str">
        <f>IF('Wk11'!I11="","",'Wk11'!I11)</f>
        <v/>
      </c>
      <c r="N9" s="29" t="str">
        <f>IF('Wk12'!I11="","",'Wk12'!I11)</f>
        <v/>
      </c>
      <c r="O9" s="31">
        <f t="shared" ref="O9:O13" si="2">IFERROR(MAX(C9:N9),"")</f>
        <v>0</v>
      </c>
    </row>
    <row r="10">
      <c r="A10" s="22" t="s">
        <v>17</v>
      </c>
      <c r="B10" s="10" t="s">
        <v>64</v>
      </c>
      <c r="C10" s="23" t="str">
        <f>IF('Wk01'!I12="","",'Wk01'!I12)</f>
        <v>Top Set Vol</v>
      </c>
      <c r="D10" s="23" t="str">
        <f>IF('Wk02'!I12="","",'Wk02'!I12)</f>
        <v>Top Set Vol</v>
      </c>
      <c r="E10" s="23" t="str">
        <f>IF('Wk03'!I12="","",'Wk03'!I12)</f>
        <v>Top Set Vol</v>
      </c>
      <c r="F10" s="23" t="str">
        <f>IF('Wk04'!I12="","",'Wk04'!I12)</f>
        <v>Top Set Vol</v>
      </c>
      <c r="G10" s="26" t="str">
        <f>IF('Wk05'!I12="","",'Wk05'!I12)</f>
        <v>Top Set Vol</v>
      </c>
      <c r="H10" s="26" t="str">
        <f>IF('Wk06'!I12="","",'Wk06'!I12)</f>
        <v>Top Set Vol</v>
      </c>
      <c r="I10" s="26" t="str">
        <f>IF('Wk07'!I12="","",'Wk07'!I12)</f>
        <v>Top Set Vol</v>
      </c>
      <c r="J10" s="26" t="str">
        <f>IF('Wk08'!I12="","",'Wk08'!I12)</f>
        <v>Top Set Vol</v>
      </c>
      <c r="K10" s="28" t="str">
        <f>IF('Wk09'!I12="","",'Wk09'!I12)</f>
        <v>Top Set Vol</v>
      </c>
      <c r="L10" s="28" t="str">
        <f>IF('Wk10'!I12="","",'Wk10'!I12)</f>
        <v>Top Set Vol</v>
      </c>
      <c r="M10" s="28" t="str">
        <f>IF('Wk11'!I12="","",'Wk11'!I12)</f>
        <v>Top Set Vol</v>
      </c>
      <c r="N10" s="29" t="str">
        <f>IF('Wk12'!I12="","",'Wk12'!I12)</f>
        <v>Top Set Vol</v>
      </c>
      <c r="O10" s="31">
        <f t="shared" si="2"/>
        <v>0</v>
      </c>
    </row>
    <row r="11">
      <c r="A11" s="22" t="s">
        <v>17</v>
      </c>
      <c r="B11" s="10" t="s">
        <v>112</v>
      </c>
      <c r="C11" s="23">
        <f>IF('Wk01'!I13="","",'Wk01'!I13)</f>
        <v>1380</v>
      </c>
      <c r="D11" s="23">
        <f>IF('Wk02'!I13="","",'Wk02'!I13)</f>
        <v>1380</v>
      </c>
      <c r="E11" s="23">
        <f>IF('Wk03'!I13="","",'Wk03'!I13)</f>
        <v>1200</v>
      </c>
      <c r="F11" s="23">
        <f>IF('Wk04'!I13="","",'Wk04'!I13)</f>
        <v>1440</v>
      </c>
      <c r="G11" s="26">
        <f>IF('Wk05'!I13="","",'Wk05'!I13)</f>
        <v>1500</v>
      </c>
      <c r="H11" s="26" t="str">
        <f>IF('Wk06'!I13="","",'Wk06'!I13)</f>
        <v/>
      </c>
      <c r="I11" s="26">
        <f>IF('Wk07'!I13="","",'Wk07'!I13)</f>
        <v>1250</v>
      </c>
      <c r="J11" s="26">
        <f>IF('Wk08'!I13="","",'Wk08'!I13)</f>
        <v>1350</v>
      </c>
      <c r="K11" s="28">
        <f>IF('Wk09'!I13="","",'Wk09'!I13)</f>
        <v>1260</v>
      </c>
      <c r="L11" s="28">
        <f>IF('Wk10'!I13="","",'Wk10'!I13)</f>
        <v>1260</v>
      </c>
      <c r="M11" s="28">
        <f>IF('Wk11'!I13="","",'Wk11'!I13)</f>
        <v>1740</v>
      </c>
      <c r="N11" s="29" t="str">
        <f>IF('Wk12'!I13="","",'Wk12'!I13)</f>
        <v/>
      </c>
      <c r="O11" s="31">
        <f t="shared" si="2"/>
        <v>1740</v>
      </c>
    </row>
    <row r="12">
      <c r="A12" s="22" t="s">
        <v>17</v>
      </c>
      <c r="B12" s="10" t="s">
        <v>67</v>
      </c>
      <c r="C12" s="23">
        <f>IF('Wk01'!I14="","",'Wk01'!I14)</f>
        <v>720</v>
      </c>
      <c r="D12" s="23">
        <f>IF('Wk02'!I14="","",'Wk02'!I14)</f>
        <v>900</v>
      </c>
      <c r="E12" s="23">
        <f>IF('Wk03'!I14="","",'Wk03'!I14)</f>
        <v>1100</v>
      </c>
      <c r="F12" s="23" t="str">
        <f>IF('Wk04'!I14="","",'Wk04'!I14)</f>
        <v/>
      </c>
      <c r="G12" s="26">
        <f>IF('Wk05'!I14="","",'Wk05'!I14)</f>
        <v>550</v>
      </c>
      <c r="H12" s="26" t="str">
        <f>IF('Wk06'!I14="","",'Wk06'!I14)</f>
        <v/>
      </c>
      <c r="I12" s="26">
        <f>IF('Wk07'!I14="","",'Wk07'!I14)</f>
        <v>900</v>
      </c>
      <c r="J12" s="26">
        <f>IF('Wk08'!I14="","",'Wk08'!I14)</f>
        <v>1100</v>
      </c>
      <c r="K12" s="28">
        <f>IF('Wk09'!I14="","",'Wk09'!I14)</f>
        <v>840</v>
      </c>
      <c r="L12" s="28">
        <f>IF('Wk10'!I14="","",'Wk10'!I14)</f>
        <v>880</v>
      </c>
      <c r="M12" s="28">
        <f>IF('Wk11'!I14="","",'Wk11'!I14)</f>
        <v>880</v>
      </c>
      <c r="N12" s="29" t="str">
        <f>IF('Wk12'!I14="","",'Wk12'!I14)</f>
        <v/>
      </c>
      <c r="O12" s="31">
        <f t="shared" si="2"/>
        <v>1100</v>
      </c>
    </row>
    <row r="13">
      <c r="A13" s="22" t="s">
        <v>17</v>
      </c>
      <c r="B13" s="10" t="s">
        <v>68</v>
      </c>
      <c r="C13" s="23">
        <f>IF('Wk01'!I15="","",'Wk01'!I15)</f>
        <v>240</v>
      </c>
      <c r="D13" s="23">
        <f>IF('Wk02'!I15="","",'Wk02'!I15)</f>
        <v>240</v>
      </c>
      <c r="E13" s="23">
        <f>IF('Wk03'!I15="","",'Wk03'!I15)</f>
        <v>240</v>
      </c>
      <c r="F13" s="23">
        <f>IF('Wk04'!I15="","",'Wk04'!I15)</f>
        <v>240</v>
      </c>
      <c r="G13" s="26">
        <f>IF('Wk05'!I15="","",'Wk05'!I15)</f>
        <v>300</v>
      </c>
      <c r="H13" s="26" t="str">
        <f>IF('Wk06'!I15="","",'Wk06'!I15)</f>
        <v/>
      </c>
      <c r="I13" s="26">
        <f>IF('Wk07'!I15="","",'Wk07'!I15)</f>
        <v>360</v>
      </c>
      <c r="J13" s="26">
        <f>IF('Wk08'!I15="","",'Wk08'!I15)</f>
        <v>280</v>
      </c>
      <c r="K13" s="28">
        <f>IF('Wk09'!I15="","",'Wk09'!I15)</f>
        <v>480</v>
      </c>
      <c r="L13" s="28">
        <f>IF('Wk10'!I15="","",'Wk10'!I15)</f>
        <v>480</v>
      </c>
      <c r="M13" s="28">
        <f>IF('Wk11'!I15="","",'Wk11'!I15)</f>
        <v>480</v>
      </c>
      <c r="N13" s="29" t="str">
        <f>IF('Wk12'!I15="","",'Wk12'!I15)</f>
        <v/>
      </c>
      <c r="O13" s="31">
        <f t="shared" si="2"/>
        <v>480</v>
      </c>
    </row>
    <row r="15">
      <c r="A15" s="22" t="s">
        <v>26</v>
      </c>
      <c r="B15" s="10" t="s">
        <v>113</v>
      </c>
      <c r="C15" s="23">
        <f>IF('Wk01'!I18="","",'Wk01'!I18)</f>
        <v>1050</v>
      </c>
      <c r="D15" s="23">
        <f>IF('Wk02'!I18="","",'Wk02'!I18)</f>
        <v>770</v>
      </c>
      <c r="E15" s="23">
        <f>IF('Wk03'!I18="","",'Wk03'!I18)</f>
        <v>825</v>
      </c>
      <c r="F15" s="23" t="str">
        <f>IF('Wk04'!I18="","",'Wk04'!I18)</f>
        <v/>
      </c>
      <c r="G15" s="26">
        <f>IF('Wk05'!I18="","",'Wk05'!I18)</f>
        <v>1050</v>
      </c>
      <c r="H15" s="26" t="str">
        <f>IF('Wk06'!I18="","",'Wk06'!I18)</f>
        <v/>
      </c>
      <c r="I15" s="26">
        <f>IF('Wk07'!I18="","",'Wk07'!I18)</f>
        <v>1050</v>
      </c>
      <c r="J15" s="26">
        <f>IF('Wk08'!I18="","",'Wk08'!I18)</f>
        <v>1125</v>
      </c>
      <c r="K15" s="28">
        <f>IF('Wk09'!I18="","",'Wk09'!I18)</f>
        <v>1125</v>
      </c>
      <c r="L15" s="28">
        <f>IF('Wk10'!I18="","",'Wk10'!I18)</f>
        <v>1200</v>
      </c>
      <c r="M15" s="28">
        <f>IF('Wk11'!I18="","",'Wk11'!I18)</f>
        <v>1200</v>
      </c>
      <c r="N15" s="29" t="str">
        <f>IF('Wk12'!I18="","",'Wk12'!I18)</f>
        <v/>
      </c>
      <c r="O15" s="31">
        <f t="shared" ref="O15:O19" si="3">IFERROR(MAX(C15:N15),"")</f>
        <v>1200</v>
      </c>
    </row>
    <row r="16">
      <c r="A16" s="22" t="s">
        <v>26</v>
      </c>
      <c r="B16" s="10" t="s">
        <v>71</v>
      </c>
      <c r="C16" s="23" t="str">
        <f>IF('Wk01'!I19="","",'Wk01'!I19)</f>
        <v/>
      </c>
      <c r="D16" s="23" t="str">
        <f>IF('Wk02'!I19="","",'Wk02'!I19)</f>
        <v/>
      </c>
      <c r="E16" s="23" t="str">
        <f>IF('Wk03'!I19="","",'Wk03'!I19)</f>
        <v/>
      </c>
      <c r="F16" s="23" t="str">
        <f>IF('Wk04'!I19="","",'Wk04'!I19)</f>
        <v/>
      </c>
      <c r="G16" s="26" t="str">
        <f>IF('Wk05'!I19="","",'Wk05'!I19)</f>
        <v/>
      </c>
      <c r="H16" s="26" t="str">
        <f>IF('Wk06'!I19="","",'Wk06'!I19)</f>
        <v/>
      </c>
      <c r="I16" s="26" t="str">
        <f>IF('Wk07'!I19="","",'Wk07'!I19)</f>
        <v/>
      </c>
      <c r="J16" s="26" t="str">
        <f>IF('Wk08'!I19="","",'Wk08'!I19)</f>
        <v/>
      </c>
      <c r="K16" s="28" t="str">
        <f>IF('Wk09'!I19="","",'Wk09'!I19)</f>
        <v/>
      </c>
      <c r="L16" s="28" t="str">
        <f>IF('Wk10'!I19="","",'Wk10'!I19)</f>
        <v/>
      </c>
      <c r="M16" s="28" t="str">
        <f>IF('Wk11'!I19="","",'Wk11'!I19)</f>
        <v/>
      </c>
      <c r="N16" s="29" t="str">
        <f>IF('Wk12'!I19="","",'Wk12'!I19)</f>
        <v/>
      </c>
      <c r="O16" s="31">
        <f t="shared" si="3"/>
        <v>0</v>
      </c>
    </row>
    <row r="17">
      <c r="A17" s="22" t="s">
        <v>26</v>
      </c>
      <c r="B17" s="10" t="s">
        <v>72</v>
      </c>
      <c r="C17" s="23" t="str">
        <f>IF('Wk01'!I20="","",'Wk01'!I20)</f>
        <v>Top Set Vol</v>
      </c>
      <c r="D17" s="23" t="str">
        <f>IF('Wk02'!I20="","",'Wk02'!I20)</f>
        <v>Top Set Vol</v>
      </c>
      <c r="E17" s="23" t="str">
        <f>IF('Wk03'!I20="","",'Wk03'!I20)</f>
        <v>Top Set Vol</v>
      </c>
      <c r="F17" s="23" t="str">
        <f>IF('Wk04'!I20="","",'Wk04'!I20)</f>
        <v>Top Set Vol</v>
      </c>
      <c r="G17" s="26" t="str">
        <f>IF('Wk05'!I20="","",'Wk05'!I20)</f>
        <v>Top Set Vol</v>
      </c>
      <c r="H17" s="26" t="str">
        <f>IF('Wk06'!I20="","",'Wk06'!I20)</f>
        <v>Top Set Vol</v>
      </c>
      <c r="I17" s="26" t="str">
        <f>IF('Wk07'!I20="","",'Wk07'!I20)</f>
        <v>Top Set Vol</v>
      </c>
      <c r="J17" s="26" t="str">
        <f>IF('Wk08'!I20="","",'Wk08'!I20)</f>
        <v>Top Set Vol</v>
      </c>
      <c r="K17" s="28" t="str">
        <f>IF('Wk09'!I20="","",'Wk09'!I20)</f>
        <v>Top Set Vol</v>
      </c>
      <c r="L17" s="28" t="str">
        <f>IF('Wk10'!I20="","",'Wk10'!I20)</f>
        <v>Top Set Vol</v>
      </c>
      <c r="M17" s="28" t="str">
        <f>IF('Wk11'!I20="","",'Wk11'!I20)</f>
        <v>Top Set Vol</v>
      </c>
      <c r="N17" s="29" t="str">
        <f>IF('Wk12'!I20="","",'Wk12'!I20)</f>
        <v>Top Set Vol</v>
      </c>
      <c r="O17" s="31">
        <f t="shared" si="3"/>
        <v>0</v>
      </c>
    </row>
    <row r="18">
      <c r="A18" s="22" t="s">
        <v>26</v>
      </c>
      <c r="B18" s="10" t="s">
        <v>74</v>
      </c>
      <c r="C18" s="23">
        <f>IF('Wk01'!I21="","",'Wk01'!I21)</f>
        <v>1380</v>
      </c>
      <c r="D18" s="23">
        <f>IF('Wk02'!I21="","",'Wk02'!I21)</f>
        <v>1232</v>
      </c>
      <c r="E18" s="23">
        <f>IF('Wk03'!I21="","",'Wk03'!I21)</f>
        <v>1500</v>
      </c>
      <c r="F18" s="23">
        <f>IF('Wk04'!I21="","",'Wk04'!I21)</f>
        <v>1560</v>
      </c>
      <c r="G18" s="26">
        <f>IF('Wk05'!I21="","",'Wk05'!I21)</f>
        <v>195</v>
      </c>
      <c r="H18" s="26">
        <f>IF('Wk06'!H21="","",'Wk06'!H21)</f>
        <v>13</v>
      </c>
      <c r="I18" s="26">
        <f>IF('Wk07'!I21="","",'Wk07'!I21)</f>
        <v>180</v>
      </c>
      <c r="J18" s="26">
        <f>IF('Wk08'!I21="","",'Wk08'!I21)</f>
        <v>400</v>
      </c>
      <c r="K18" s="28">
        <f>IF('Wk09'!I21="","",'Wk09'!I21)</f>
        <v>400</v>
      </c>
      <c r="L18" s="28">
        <f>IF('Wk10'!I21="","",'Wk10'!I21)</f>
        <v>500</v>
      </c>
      <c r="M18" s="28">
        <f>IF('Wk11'!I21="","",'Wk11'!I21)</f>
        <v>500</v>
      </c>
      <c r="N18" s="29" t="str">
        <f>IF('Wk12'!I21="","",'Wk12'!I21)</f>
        <v/>
      </c>
      <c r="O18" s="31">
        <f t="shared" si="3"/>
        <v>1560</v>
      </c>
    </row>
    <row r="19">
      <c r="A19" s="22" t="s">
        <v>26</v>
      </c>
      <c r="B19" s="10" t="s">
        <v>76</v>
      </c>
      <c r="C19" s="23">
        <f>IF('Wk01'!I22="","",'Wk01'!I22)</f>
        <v>2025</v>
      </c>
      <c r="D19" s="23">
        <f>IF('Wk02'!I22="","",'Wk02'!I22)</f>
        <v>1620</v>
      </c>
      <c r="E19" s="23">
        <f>IF('Wk03'!I22="","",'Wk03'!I22)</f>
        <v>1350</v>
      </c>
      <c r="F19" s="23">
        <f>IF('Wk04'!I22="","",'Wk04'!I22)</f>
        <v>1620</v>
      </c>
      <c r="G19" s="26">
        <f>IF('Wk05'!I22="","",'Wk05'!I22)</f>
        <v>1620</v>
      </c>
      <c r="H19" s="26">
        <f>IF('Wk06'!H22="","",'Wk06'!H22)</f>
        <v>12</v>
      </c>
      <c r="I19" s="26">
        <f>IF('Wk07'!I22="","",'Wk07'!I22)</f>
        <v>1755</v>
      </c>
      <c r="J19" s="26">
        <f>IF('Wk08'!I22="","",'Wk08'!I22)</f>
        <v>1350</v>
      </c>
      <c r="K19" s="28">
        <f>IF('Wk09'!I22="","",'Wk09'!I22)</f>
        <v>1755</v>
      </c>
      <c r="L19" s="28">
        <f>IF('Wk10'!I22="","",'Wk10'!I22)</f>
        <v>2160</v>
      </c>
      <c r="M19" s="28">
        <f>IF('Wk11'!I22="","",'Wk11'!I22)</f>
        <v>2025</v>
      </c>
      <c r="N19" s="29" t="str">
        <f>IF('Wk12'!I22="","",'Wk12'!I22)</f>
        <v/>
      </c>
      <c r="O19" s="31">
        <f t="shared" si="3"/>
        <v>2160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O1"/>
  </mergeCells>
  <printOptions/>
  <pageMargins bottom="1.0" footer="0.0" header="0.0" left="0.75" right="0.75" top="1.0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4.0"/>
    <col customWidth="1" min="3" max="4" width="16.0"/>
    <col customWidth="1" min="5" max="5" width="14.0"/>
    <col customWidth="1" min="6" max="6" width="40.0"/>
    <col customWidth="1" min="7" max="26" width="8.71"/>
  </cols>
  <sheetData>
    <row r="1" ht="17.25" customHeight="1">
      <c r="A1" s="3" t="s">
        <v>105</v>
      </c>
      <c r="B1" s="5"/>
      <c r="C1" s="5"/>
      <c r="D1" s="5"/>
      <c r="E1" s="5"/>
      <c r="F1" s="7"/>
    </row>
    <row r="2">
      <c r="A2" s="21" t="s">
        <v>106</v>
      </c>
      <c r="B2" s="21" t="s">
        <v>107</v>
      </c>
      <c r="C2" s="21" t="s">
        <v>108</v>
      </c>
      <c r="D2" s="21" t="s">
        <v>109</v>
      </c>
      <c r="E2" s="21" t="s">
        <v>110</v>
      </c>
      <c r="F2" s="21" t="s">
        <v>47</v>
      </c>
    </row>
    <row r="3">
      <c r="A3" s="24" t="s">
        <v>92</v>
      </c>
      <c r="B3" s="25"/>
      <c r="C3" s="25"/>
      <c r="D3" s="25"/>
      <c r="E3" s="25"/>
      <c r="F3" s="25"/>
    </row>
    <row r="4">
      <c r="A4" s="24" t="s">
        <v>93</v>
      </c>
      <c r="B4" s="25"/>
      <c r="C4" s="25"/>
      <c r="D4" s="25"/>
      <c r="E4" s="25"/>
      <c r="F4" s="25"/>
    </row>
    <row r="5">
      <c r="A5" s="24" t="s">
        <v>94</v>
      </c>
      <c r="B5" s="25"/>
      <c r="C5" s="25"/>
      <c r="D5" s="25"/>
      <c r="E5" s="25"/>
      <c r="F5" s="25"/>
    </row>
    <row r="6">
      <c r="A6" s="24" t="s">
        <v>95</v>
      </c>
      <c r="B6" s="25"/>
      <c r="C6" s="25"/>
      <c r="D6" s="25"/>
      <c r="E6" s="25"/>
      <c r="F6" s="25"/>
    </row>
    <row r="7">
      <c r="A7" s="27" t="s">
        <v>96</v>
      </c>
      <c r="B7" s="25"/>
      <c r="C7" s="25"/>
      <c r="D7" s="25"/>
      <c r="E7" s="25"/>
      <c r="F7" s="25"/>
    </row>
    <row r="8">
      <c r="A8" s="27" t="s">
        <v>97</v>
      </c>
      <c r="B8" s="25"/>
      <c r="C8" s="25"/>
      <c r="D8" s="25"/>
      <c r="E8" s="25"/>
      <c r="F8" s="25"/>
    </row>
    <row r="9">
      <c r="A9" s="27" t="s">
        <v>98</v>
      </c>
      <c r="B9" s="25"/>
      <c r="C9" s="25"/>
      <c r="D9" s="25"/>
      <c r="E9" s="25"/>
      <c r="F9" s="25"/>
    </row>
    <row r="10">
      <c r="A10" s="27" t="s">
        <v>99</v>
      </c>
      <c r="B10" s="25"/>
      <c r="C10" s="25"/>
      <c r="D10" s="25"/>
      <c r="E10" s="25"/>
      <c r="F10" s="25"/>
    </row>
    <row r="11">
      <c r="A11" s="30" t="s">
        <v>100</v>
      </c>
      <c r="B11" s="25"/>
      <c r="C11" s="25"/>
      <c r="D11" s="25"/>
      <c r="E11" s="25"/>
      <c r="F11" s="25"/>
    </row>
    <row r="12">
      <c r="A12" s="30" t="s">
        <v>101</v>
      </c>
      <c r="B12" s="25"/>
      <c r="C12" s="25"/>
      <c r="D12" s="25"/>
      <c r="E12" s="25"/>
      <c r="F12" s="25"/>
    </row>
    <row r="13">
      <c r="A13" s="30" t="s">
        <v>102</v>
      </c>
      <c r="B13" s="25"/>
      <c r="C13" s="25"/>
      <c r="D13" s="25"/>
      <c r="E13" s="25"/>
      <c r="F13" s="25"/>
    </row>
    <row r="14">
      <c r="A14" s="32" t="s">
        <v>103</v>
      </c>
      <c r="B14" s="25"/>
      <c r="C14" s="25"/>
      <c r="D14" s="25"/>
      <c r="E14" s="25"/>
      <c r="F14" s="2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